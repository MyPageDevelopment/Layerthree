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book G6 15\Downloads\"/>
    </mc:Choice>
  </mc:AlternateContent>
  <xr:revisionPtr revIDLastSave="0" documentId="13_ncr:1_{8815B149-A7F4-4B79-A21A-1F01F24CC311}" xr6:coauthVersionLast="47" xr6:coauthVersionMax="47" xr10:uidLastSave="{00000000-0000-0000-0000-000000000000}"/>
  <bookViews>
    <workbookView xWindow="-120" yWindow="-120" windowWidth="29040" windowHeight="15720" xr2:uid="{C391276D-C8C6-46D5-801D-10E33CD313D4}"/>
  </bookViews>
  <sheets>
    <sheet name="CC_COSTO_INFRA_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90" i="1" l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314" i="1"/>
  <c r="G315" i="1"/>
  <c r="G316" i="1"/>
  <c r="G317" i="1"/>
  <c r="G318" i="1"/>
  <c r="G319" i="1"/>
  <c r="G320" i="1"/>
  <c r="G321" i="1"/>
  <c r="G322" i="1"/>
  <c r="G323" i="1"/>
  <c r="G168" i="1"/>
  <c r="G169" i="1"/>
  <c r="G170" i="1"/>
  <c r="G171" i="1"/>
  <c r="G172" i="1"/>
  <c r="G173" i="1"/>
  <c r="G174" i="1"/>
  <c r="G175" i="1"/>
  <c r="G176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G614" i="1"/>
  <c r="G613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604" i="1"/>
  <c r="G605" i="1"/>
  <c r="G606" i="1"/>
  <c r="G607" i="1"/>
  <c r="G608" i="1"/>
  <c r="G609" i="1"/>
  <c r="G610" i="1"/>
  <c r="G611" i="1"/>
  <c r="G612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10" i="1"/>
  <c r="G511" i="1"/>
  <c r="G512" i="1"/>
  <c r="G513" i="1"/>
  <c r="G530" i="1"/>
  <c r="G531" i="1"/>
  <c r="G532" i="1"/>
  <c r="G533" i="1"/>
  <c r="G534" i="1"/>
  <c r="G535" i="1"/>
  <c r="G536" i="1"/>
  <c r="G537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347" i="1"/>
  <c r="G388" i="1"/>
  <c r="G389" i="1"/>
  <c r="G390" i="1"/>
  <c r="G391" i="1"/>
  <c r="G392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281" i="1"/>
  <c r="G301" i="1"/>
  <c r="G309" i="1"/>
  <c r="G310" i="1"/>
  <c r="G311" i="1"/>
  <c r="G312" i="1"/>
  <c r="G31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254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148" i="1"/>
  <c r="G152" i="1"/>
  <c r="G166" i="1"/>
  <c r="G167" i="1"/>
  <c r="G177" i="1"/>
  <c r="G178" i="1"/>
  <c r="G179" i="1"/>
  <c r="G180" i="1"/>
  <c r="G181" i="1"/>
  <c r="G182" i="1"/>
  <c r="G183" i="1"/>
  <c r="G184" i="1"/>
  <c r="G185" i="1"/>
  <c r="G186" i="1"/>
  <c r="G187" i="1"/>
  <c r="G91" i="1"/>
  <c r="G92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30" i="1"/>
  <c r="G34" i="1"/>
  <c r="G41" i="1"/>
  <c r="G42" i="1"/>
  <c r="G43" i="1"/>
  <c r="G44" i="1"/>
  <c r="G45" i="1"/>
  <c r="G46" i="1"/>
  <c r="G47" i="1"/>
  <c r="G48" i="1"/>
  <c r="G49" i="1"/>
  <c r="G50" i="1"/>
  <c r="G51" i="1"/>
  <c r="G52" i="1"/>
  <c r="G71" i="1"/>
  <c r="G72" i="1"/>
  <c r="G73" i="1"/>
  <c r="G74" i="1"/>
  <c r="G75" i="1"/>
  <c r="G144" i="1"/>
  <c r="G201" i="1"/>
  <c r="G217" i="1"/>
  <c r="G253" i="1"/>
  <c r="G272" i="1"/>
  <c r="G273" i="1"/>
  <c r="G274" i="1"/>
  <c r="G416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38" i="1"/>
  <c r="G539" i="1"/>
  <c r="G540" i="1"/>
  <c r="G541" i="1"/>
  <c r="G542" i="1"/>
  <c r="G543" i="1"/>
  <c r="G544" i="1"/>
  <c r="G545" i="1"/>
  <c r="G546" i="1"/>
  <c r="G547" i="1"/>
  <c r="G565" i="1"/>
  <c r="G566" i="1"/>
  <c r="G567" i="1"/>
  <c r="G568" i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5" i="1"/>
  <c r="G255" i="1" s="1"/>
  <c r="F394" i="1"/>
  <c r="G394" i="1" s="1"/>
  <c r="F393" i="1"/>
  <c r="G393" i="1" s="1"/>
  <c r="F165" i="1"/>
  <c r="G165" i="1" s="1"/>
  <c r="C165" i="1"/>
  <c r="F164" i="1"/>
  <c r="G164" i="1" s="1"/>
  <c r="C164" i="1"/>
  <c r="F218" i="1"/>
  <c r="G218" i="1" s="1"/>
  <c r="F26" i="1"/>
  <c r="G26" i="1" s="1"/>
  <c r="F27" i="1"/>
  <c r="G27" i="1" s="1"/>
  <c r="F28" i="1"/>
  <c r="G28" i="1" s="1"/>
  <c r="F29" i="1"/>
  <c r="G29" i="1" s="1"/>
  <c r="F31" i="1"/>
  <c r="G31" i="1" s="1"/>
  <c r="F40" i="1"/>
  <c r="G40" i="1" s="1"/>
  <c r="F39" i="1"/>
  <c r="G39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32" i="1"/>
  <c r="G32" i="1" s="1"/>
  <c r="F33" i="1"/>
  <c r="G33" i="1" s="1"/>
  <c r="F35" i="1"/>
  <c r="G35" i="1" s="1"/>
  <c r="F36" i="1"/>
  <c r="G36" i="1" s="1"/>
  <c r="F37" i="1"/>
  <c r="G37" i="1" s="1"/>
  <c r="F38" i="1"/>
  <c r="G38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3" i="1"/>
  <c r="G93" i="1" s="1"/>
  <c r="F141" i="1"/>
  <c r="G141" i="1" s="1"/>
  <c r="F142" i="1"/>
  <c r="G142" i="1" s="1"/>
  <c r="F143" i="1"/>
  <c r="G143" i="1" s="1"/>
  <c r="F145" i="1"/>
  <c r="G145" i="1" s="1"/>
  <c r="F146" i="1"/>
  <c r="G146" i="1" s="1"/>
  <c r="F147" i="1"/>
  <c r="G147" i="1" s="1"/>
  <c r="F149" i="1"/>
  <c r="G149" i="1" s="1"/>
  <c r="F150" i="1"/>
  <c r="G150" i="1" s="1"/>
  <c r="F151" i="1"/>
  <c r="G151" i="1" s="1"/>
  <c r="C153" i="1"/>
  <c r="F153" i="1"/>
  <c r="G153" i="1" s="1"/>
  <c r="C154" i="1"/>
  <c r="F154" i="1"/>
  <c r="G154" i="1" s="1"/>
  <c r="C155" i="1"/>
  <c r="F155" i="1"/>
  <c r="G155" i="1" s="1"/>
  <c r="C156" i="1"/>
  <c r="F156" i="1"/>
  <c r="G156" i="1" s="1"/>
  <c r="C157" i="1"/>
  <c r="F157" i="1"/>
  <c r="G157" i="1" s="1"/>
  <c r="C158" i="1"/>
  <c r="F158" i="1"/>
  <c r="G158" i="1" s="1"/>
  <c r="C159" i="1"/>
  <c r="F159" i="1"/>
  <c r="G159" i="1" s="1"/>
  <c r="C160" i="1"/>
  <c r="F160" i="1"/>
  <c r="G160" i="1" s="1"/>
  <c r="F161" i="1"/>
  <c r="G161" i="1" s="1"/>
  <c r="C162" i="1"/>
  <c r="F162" i="1"/>
  <c r="G162" i="1" s="1"/>
  <c r="C163" i="1"/>
  <c r="F163" i="1"/>
  <c r="G163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37" i="1"/>
  <c r="G237" i="1" s="1"/>
  <c r="F250" i="1"/>
  <c r="G250" i="1" s="1"/>
  <c r="F251" i="1"/>
  <c r="G251" i="1" s="1"/>
  <c r="F252" i="1"/>
  <c r="G252" i="1" s="1"/>
  <c r="F275" i="1"/>
  <c r="G275" i="1" s="1"/>
  <c r="F276" i="1"/>
  <c r="G276" i="1" s="1"/>
  <c r="F278" i="1"/>
  <c r="G278" i="1" s="1"/>
  <c r="F279" i="1"/>
  <c r="G279" i="1" s="1"/>
  <c r="F280" i="1"/>
  <c r="G280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413" i="1"/>
  <c r="G413" i="1" s="1"/>
  <c r="F414" i="1"/>
  <c r="G414" i="1" s="1"/>
  <c r="F415" i="1"/>
  <c r="G415" i="1" s="1"/>
  <c r="F277" i="1" l="1"/>
  <c r="G277" i="1" s="1"/>
</calcChain>
</file>

<file path=xl/sharedStrings.xml><?xml version="1.0" encoding="utf-8"?>
<sst xmlns="http://schemas.openxmlformats.org/spreadsheetml/2006/main" count="779" uniqueCount="433">
  <si>
    <t>UN</t>
  </si>
  <si>
    <t>ANDAMIOS</t>
  </si>
  <si>
    <t>BROCA 25MM CONCRETO / PASADA MURO</t>
  </si>
  <si>
    <t>LAUCHA PLASTICA 9 MTS</t>
  </si>
  <si>
    <t>MTS</t>
  </si>
  <si>
    <t>EXTENCION (CABLE-MODULOS-ENCHUFE)</t>
  </si>
  <si>
    <t xml:space="preserve">TALADROS PERCUTOR </t>
  </si>
  <si>
    <t>ESCALAS TIJERAS 2,40MTS</t>
  </si>
  <si>
    <t>PROTECTOR AUDITIVOS 2OREJAS MAS GOMAS</t>
  </si>
  <si>
    <t>MASCARILLAS 20 UN</t>
  </si>
  <si>
    <t>ANTIPARRAS</t>
  </si>
  <si>
    <t>GUANTES</t>
  </si>
  <si>
    <t>PINTURA AMARILLAS Y NEGRA</t>
  </si>
  <si>
    <t>PUNTAS PHILLIS</t>
  </si>
  <si>
    <t>PLUMON PERMANENTE</t>
  </si>
  <si>
    <t>ESPUMA EXPANDIBLE</t>
  </si>
  <si>
    <t xml:space="preserve">LLAVE PARA TUERAS </t>
  </si>
  <si>
    <t>SILICONA TRANSPARENTE VIDRIOS</t>
  </si>
  <si>
    <t>LIJA</t>
  </si>
  <si>
    <t>LIMA</t>
  </si>
  <si>
    <t>HOJAS SIERRA</t>
  </si>
  <si>
    <t>DISCO CORTE</t>
  </si>
  <si>
    <t>CINTA DE GOMA</t>
  </si>
  <si>
    <t>HERRAMIENTAS</t>
  </si>
  <si>
    <t>cto tableros</t>
  </si>
  <si>
    <t>cto para otros postes</t>
  </si>
  <si>
    <t>EMPALME ELECTRICOS</t>
  </si>
  <si>
    <t>Traslado poste</t>
  </si>
  <si>
    <t>camion por montaje de poste + tablero + antenas</t>
  </si>
  <si>
    <t>montaje de tablero</t>
  </si>
  <si>
    <t>Montaje de poste</t>
  </si>
  <si>
    <t>Canastillo 7/8</t>
  </si>
  <si>
    <t>Dado de hormigon con materiales e instalacion</t>
  </si>
  <si>
    <t>estructura para antenas</t>
  </si>
  <si>
    <t>un</t>
  </si>
  <si>
    <t>perfil metalico</t>
  </si>
  <si>
    <t>Hilite de 12mts en 4mm espesor</t>
  </si>
  <si>
    <t>POSTACION</t>
  </si>
  <si>
    <t>PERNO ANCLAJES 8 MM (BANDEJA - RACK) 6 UN</t>
  </si>
  <si>
    <t>PERNOS O TRONILLOS ESPECIALES</t>
  </si>
  <si>
    <t>TORNILLOS AUTOPERFORANTE 1``</t>
  </si>
  <si>
    <t>TORNILLOS AUTOPERFORANTE 1/2``</t>
  </si>
  <si>
    <t>TACO ANCLAJE 3/8 TARUGO BANDEJA</t>
  </si>
  <si>
    <t>TARUGOS PALOMA</t>
  </si>
  <si>
    <t>GOLILLA 5/16</t>
  </si>
  <si>
    <t>HINCHA AISLADORA</t>
  </si>
  <si>
    <t>VELCRO 22 MTS</t>
  </si>
  <si>
    <t>AMARRAS PLASTICAS 100 UN</t>
  </si>
  <si>
    <t>TUERCAS</t>
  </si>
  <si>
    <t>PERNOS JAULAS</t>
  </si>
  <si>
    <t>CASSET PARA ROTULAR</t>
  </si>
  <si>
    <t>VASELINA</t>
  </si>
  <si>
    <t>BANDEROLA FO</t>
  </si>
  <si>
    <t>CINTA MASKEY</t>
  </si>
  <si>
    <t>ESPIRAL DE CABLES</t>
  </si>
  <si>
    <t>CORCHETERA</t>
  </si>
  <si>
    <t>KIT DE LIMPIEZA LIQUIDO + PAÑOS</t>
  </si>
  <si>
    <t>CORCHETES</t>
  </si>
  <si>
    <t>GRAMPAS X 25</t>
  </si>
  <si>
    <t>ROLLO</t>
  </si>
  <si>
    <t>POSTE MAS TABLERO MAS RED ELECTRICA Y EMPALME</t>
  </si>
  <si>
    <t>MES</t>
  </si>
  <si>
    <t>CADENA</t>
  </si>
  <si>
    <t>FERRETERIA</t>
  </si>
  <si>
    <t>Aire Acondicionado 18.000 BUT</t>
  </si>
  <si>
    <t>AIRE ACONDICIONADO</t>
  </si>
  <si>
    <t>ALCOHOL + TOALLITAS</t>
  </si>
  <si>
    <t>CHASIS CONVERT 14 SLOT</t>
  </si>
  <si>
    <t>MODULO SFP SM</t>
  </si>
  <si>
    <t>MEDIA CONVER MAS MODULO SFP SM</t>
  </si>
  <si>
    <t>MANGUITO TERMO FUSION 40MM 50 UNI</t>
  </si>
  <si>
    <t>TAPAS CIEGAS CABECERAS</t>
  </si>
  <si>
    <t>CASSET PORTA EMPALME 24 F</t>
  </si>
  <si>
    <t>CASSET PORTA EMPALME 12 F</t>
  </si>
  <si>
    <t>MINI PLACAS SM LC 12 GUIAS</t>
  </si>
  <si>
    <t>MUFA</t>
  </si>
  <si>
    <t>CABECERA 2 U 144 F</t>
  </si>
  <si>
    <t>CABECERA 1 U 72F</t>
  </si>
  <si>
    <t>FIBRA OPTICA OM3 INT 6 F</t>
  </si>
  <si>
    <t>F.O</t>
  </si>
  <si>
    <t>CERTIFICACION RED ELECTRICA</t>
  </si>
  <si>
    <t>PDU 12 MODULOS 5113</t>
  </si>
  <si>
    <t>CAJA CHUQUI METALICA</t>
  </si>
  <si>
    <t>MODULO C19</t>
  </si>
  <si>
    <t>MODULO C20</t>
  </si>
  <si>
    <t>CABLE DE PODER C-13</t>
  </si>
  <si>
    <t>CABLE SALIDA UPS C-19-C20</t>
  </si>
  <si>
    <t>CABLE SALIDA UPS C-13-C14</t>
  </si>
  <si>
    <t>TABLERO ELECTRICO ELECTRICO SOBRE PUESTO 6 P</t>
  </si>
  <si>
    <t>MODULOS NORMAL 5113</t>
  </si>
  <si>
    <t>MODULOS MAGIC 5100</t>
  </si>
  <si>
    <t>RIEL DIN 1</t>
  </si>
  <si>
    <t>CORDON ELECTRICO 2,5MM X 3 F,N,T</t>
  </si>
  <si>
    <t>CABLE LSZH 2.5 MM V X 100</t>
  </si>
  <si>
    <t>ELECTRICO</t>
  </si>
  <si>
    <t>CERTIFICACION UTP</t>
  </si>
  <si>
    <t>FACEPLATA AUDIO</t>
  </si>
  <si>
    <t>CAJAS</t>
  </si>
  <si>
    <t>CABLE UTP CAT 6 EXT F/UTP TX</t>
  </si>
  <si>
    <t>PATCH PANEL PLACA VACIA 1U LV</t>
  </si>
  <si>
    <t>PATCH PANEL PLACA VACIA 1U TX</t>
  </si>
  <si>
    <t>USER CORDS 6,1 MTS LV</t>
  </si>
  <si>
    <t>USER CORDS 2,1 MTS LV</t>
  </si>
  <si>
    <t>USER CORDS 2 MTS TX</t>
  </si>
  <si>
    <t>PATCH CORDS 0,9 MT LV</t>
  </si>
  <si>
    <t>PATCH CORDS 1 MT TX</t>
  </si>
  <si>
    <t>PATCH CORDS 0,5 MT TX</t>
  </si>
  <si>
    <t>MODULOS CAT 6 NEGRO LV</t>
  </si>
  <si>
    <t>MODULOS CAT 6 NEGRO TX</t>
  </si>
  <si>
    <t>MODULO CAT 6 BLANCO LV</t>
  </si>
  <si>
    <t>MODULO CAT 6 BLANCO TX</t>
  </si>
  <si>
    <t>U0</t>
  </si>
  <si>
    <t>ROSETAS TELEFONICAS</t>
  </si>
  <si>
    <t>CABLE PIN 4X24 AMG BLANCO X 100</t>
  </si>
  <si>
    <t>RED</t>
  </si>
  <si>
    <t>RUEDAS</t>
  </si>
  <si>
    <t>RACK 09 U 600 FONDO</t>
  </si>
  <si>
    <t>RACK 12 U 600 FONDO</t>
  </si>
  <si>
    <t>RACK 15 U 600 FONDO</t>
  </si>
  <si>
    <t>RACK 18 U 600 FONDO</t>
  </si>
  <si>
    <t>RACK</t>
  </si>
  <si>
    <t>mts</t>
  </si>
  <si>
    <t>Tira</t>
  </si>
  <si>
    <t>UNION BANDEJA 100X50</t>
  </si>
  <si>
    <t>ACCESORIO 100X50 MM ZOLODA T</t>
  </si>
  <si>
    <t>ACCESORIO 100X50 MM ZOLODA FINAL</t>
  </si>
  <si>
    <t>ACCESORIO 100X50 MM ZOLODA PLANO</t>
  </si>
  <si>
    <t>ACCESORIO 100X50 MM ZOLODA EXTERIOR</t>
  </si>
  <si>
    <t>ACCESORIO 100X50 MM ZOLODA INTERIOR</t>
  </si>
  <si>
    <t>BANDEJA DLP 100X50 MM ZOLODA</t>
  </si>
  <si>
    <t>ACCESORIO 16X40MM ZOLODA T</t>
  </si>
  <si>
    <t>ACCESORIO 16X40MM ZOLODA FINAL</t>
  </si>
  <si>
    <t>ACCESORIO 16X40MM ZOLODA PLANO</t>
  </si>
  <si>
    <t>ACCESORIO 16X40MM ZOLODA EXTERIOR</t>
  </si>
  <si>
    <t>ACCESORIO 16X40MM ZOLODA INTERIOR</t>
  </si>
  <si>
    <t>BANDEJA DLP 16X40 MM ZOLODA</t>
  </si>
  <si>
    <t>DLP</t>
  </si>
  <si>
    <t>CAJAS DE PASO PLASTICA</t>
  </si>
  <si>
    <t>TIRA</t>
  </si>
  <si>
    <t>ABRAZADERAS OMEGA 32MM</t>
  </si>
  <si>
    <t>CODO PVC 32 MM</t>
  </si>
  <si>
    <t>TERMINAL PVC 32MM</t>
  </si>
  <si>
    <t>PVC 32 MM X 3 MTS</t>
  </si>
  <si>
    <t>ABRAZADERAS OMEGA 25MM</t>
  </si>
  <si>
    <t>CODO PVC 25 MM</t>
  </si>
  <si>
    <t>TERMINAL PVC 25MM</t>
  </si>
  <si>
    <t>PVC 25 MM X 3 MTS</t>
  </si>
  <si>
    <t>ABRAZADERAS OMEGA 20MM</t>
  </si>
  <si>
    <t>CURVA 90° CONDUIT PVC 20MM</t>
  </si>
  <si>
    <t>SALIDA DE CAJA CONDUIT PVC 20MM</t>
  </si>
  <si>
    <t>PVC 20 MM X 3 MTS</t>
  </si>
  <si>
    <t>PVC</t>
  </si>
  <si>
    <t>ACCESORIOS VARIOS</t>
  </si>
  <si>
    <t>CURVAS CABLO FIL</t>
  </si>
  <si>
    <t xml:space="preserve">TIRA </t>
  </si>
  <si>
    <t>Soporte puente 3000mm</t>
  </si>
  <si>
    <t>Unión grapa con perno</t>
  </si>
  <si>
    <t>Unión rapida Altura 65 y 105mm - zincada</t>
  </si>
  <si>
    <t>Varilla roscada M10X3000</t>
  </si>
  <si>
    <t xml:space="preserve">Cablofil Bandeja rejilla 200x65X3000mm </t>
  </si>
  <si>
    <t>TUERCA R/42 3/8 C/RESORTE ZN.</t>
  </si>
  <si>
    <t>RIEL 42*42*1.9*3000 ZN.</t>
  </si>
  <si>
    <t>TUERCA HEX. 1/4 ZN.</t>
  </si>
  <si>
    <t>PERNO COCHE 1/4*5/8 ZN.</t>
  </si>
  <si>
    <t>GOLILLA PLANA 3/8 ZN.</t>
  </si>
  <si>
    <t>TUERCA HEX. 3/8 ZN.</t>
  </si>
  <si>
    <t>HILO 3/8*3000 ZN.</t>
  </si>
  <si>
    <t>SOPORTE ESTRIBO 100*50 ZN.</t>
  </si>
  <si>
    <t>tira</t>
  </si>
  <si>
    <t>BPC</t>
  </si>
  <si>
    <t>CAJAS ESTANCAS 100*100 EMT</t>
  </si>
  <si>
    <t>CAJAS ESTANCAS 100*65*65 EMT A01</t>
  </si>
  <si>
    <t>CURVAS 32MM EMT</t>
  </si>
  <si>
    <t>COPLA 32MM EMT</t>
  </si>
  <si>
    <t>TERMINALES 32MM EMT</t>
  </si>
  <si>
    <t>ABRAZADERAS CADDY EMT 32MM</t>
  </si>
  <si>
    <t>EMT 32MM X 3 MTS</t>
  </si>
  <si>
    <t>CURVAS 25MM EMT</t>
  </si>
  <si>
    <t>COPLA 25MM EMT</t>
  </si>
  <si>
    <t>TERMINALES 25MM EMT</t>
  </si>
  <si>
    <t>ABRAZADERAS CADDY EMT 25MM</t>
  </si>
  <si>
    <t>EMT 25MM X 3 MTS</t>
  </si>
  <si>
    <t>CURVA 20MM EMT</t>
  </si>
  <si>
    <t>COPLA 20MM EMT</t>
  </si>
  <si>
    <t>TERMINAL 20MM EMT</t>
  </si>
  <si>
    <t>ABRAZADERAS CADDY EMT 20MM</t>
  </si>
  <si>
    <t>EMT 20MM X 3 MTS</t>
  </si>
  <si>
    <t>EMT</t>
  </si>
  <si>
    <t>PROVEEDOR</t>
  </si>
  <si>
    <t>TOTAL</t>
  </si>
  <si>
    <t>COSTO</t>
  </si>
  <si>
    <t>TIPO</t>
  </si>
  <si>
    <t>CANTIDAD</t>
  </si>
  <si>
    <t>PRODUCTOS</t>
  </si>
  <si>
    <t>CLIENTE</t>
  </si>
  <si>
    <t>Planilla</t>
  </si>
  <si>
    <t>CURVAS LARGAS 25MM EMT</t>
  </si>
  <si>
    <t>TK CONECTOR EMT A FLEXIBLE 25MM</t>
  </si>
  <si>
    <t>TERMINALES 50MM EMT</t>
  </si>
  <si>
    <t>ABRAZADERAS CADDY EMT 50MM</t>
  </si>
  <si>
    <t>CAJA CHUQUI METALICA E.G.</t>
  </si>
  <si>
    <t>CURVAS CORTAS 25MM EMT</t>
  </si>
  <si>
    <t>GOLILLAS</t>
  </si>
  <si>
    <t>TAPA CIEGA METALICA</t>
  </si>
  <si>
    <t>TK CAJA PRE-GALVANIZADA A-01</t>
  </si>
  <si>
    <t>TK CAJA PRE-GALVANIZADA A-011</t>
  </si>
  <si>
    <t>TK CAJA PRE-GALVANIZADA B-12 200X100X100MM</t>
  </si>
  <si>
    <t>TK CAJA PRE-GALVANIZADA B-15 150X150X100MM</t>
  </si>
  <si>
    <t>TK CAJA PRE-GALVANIZADA B-22 200X200X100MM</t>
  </si>
  <si>
    <t>TK CAJA PRE-GALVANIZADA B-23 300X200X150MM</t>
  </si>
  <si>
    <t>TK CONDUIT FLEXIBLE METALICO PVC 32MM 30MTS</t>
  </si>
  <si>
    <t>TK CONECTOR EMT A FLEXIBLE 20MM</t>
  </si>
  <si>
    <t>TK CONECTOR METALICO CURVO CONDUIT FLEX 20MM</t>
  </si>
  <si>
    <t>TK CONECTOR METALICO CURVO CONDUIT FLEX 25MM</t>
  </si>
  <si>
    <t>TK CONECTOR METALICO CURVO CONDUIT FLEX 32MM</t>
  </si>
  <si>
    <t>TK CONECTOR METALICO RECTO CONDUIT FLEX 32MM</t>
  </si>
  <si>
    <t>ABRAZADERAS CADDY 20MM LZSH</t>
  </si>
  <si>
    <t>ABRAZADERAS CADDY 25MM LZSH</t>
  </si>
  <si>
    <t>ABRAZADERAS CADDY EMT 40MM</t>
  </si>
  <si>
    <t>COPLA 40MM EMT</t>
  </si>
  <si>
    <t>COPLA 50MM EMT</t>
  </si>
  <si>
    <t>CURVA 90° CONDUIT PVC 16MM</t>
  </si>
  <si>
    <t>CURVA 90° CONDUIT PVC 20MM LZSH</t>
  </si>
  <si>
    <t>CURVA 90° CONDUIT PVC 40MM</t>
  </si>
  <si>
    <t>CURVA 90° CONDUIT PVC 50MM</t>
  </si>
  <si>
    <t>DOBLADORA EMT 20 MM NARANJA</t>
  </si>
  <si>
    <t>DOBLADORA EMT 25 MM NARANJA</t>
  </si>
  <si>
    <t>DOBLADORA EMT 32 MM NARANJA</t>
  </si>
  <si>
    <t>EMT 50MM X 3 MTS</t>
  </si>
  <si>
    <t>SALIDA DE CAJA CONDUIT PVC 16MM</t>
  </si>
  <si>
    <t>SALIDA DE CAJA CONDUIT PVC 20MM LZSH</t>
  </si>
  <si>
    <t>SALIDA DE CAJA CONDUIT PVC 50MM</t>
  </si>
  <si>
    <t>TERMINAL COMPLETO CONDUIT PVC 50MM</t>
  </si>
  <si>
    <t>TK CONECTOR RAPIDO AMARILLO 12-10AWG X100</t>
  </si>
  <si>
    <t>TUBO CONDUIT PVC 40MM 3 MTS</t>
  </si>
  <si>
    <t>TUBO CONDUIT PVC 50MM 3 MTS</t>
  </si>
  <si>
    <t>ACCESORIO 10X20 MM ZOLADA EXTERIOR</t>
  </si>
  <si>
    <t>ACCESORIO 10X20 MM ZOLADA INTERIOR</t>
  </si>
  <si>
    <t>ACCESORIO 10X20 MM ZOLADA PLANO</t>
  </si>
  <si>
    <t>ACCESORIO 16X40MM CAFE EXTERIOR</t>
  </si>
  <si>
    <t>ACCESORIO 16X40MM CAFE FINAL</t>
  </si>
  <si>
    <t>ACCESORIO 16X40MM CAFE INTERIOR</t>
  </si>
  <si>
    <t>ACCESORIO 16X40MM CAFE PLANO</t>
  </si>
  <si>
    <t>ACCESORIO 16X40MM CAFE T</t>
  </si>
  <si>
    <t>BANDEJA DLP 16X40 MM CAFE</t>
  </si>
  <si>
    <t>BANDEJA DLP 16X40 MM ZOLODA CON PEGAMENTO</t>
  </si>
  <si>
    <t>BT TAPA CIEGA BLANCO (SIN TORNILLOS) 503ECH</t>
  </si>
  <si>
    <t>LG ANGULO EXTERIOR 80X50 - 105X50 - 150X50MM 10622</t>
  </si>
  <si>
    <t>LG ANGULO INTERIOR 80X50 - 105X50 - 150X50MM 10602</t>
  </si>
  <si>
    <t>LG ANGULO PLANO 105X50MM 10785</t>
  </si>
  <si>
    <t>LG BANDEJA 105X50MM BLANCO X MTS 10422</t>
  </si>
  <si>
    <t>LG DERIVACION T 105X50MM 10736</t>
  </si>
  <si>
    <t>LG JUNTA BANDEJA UNIVERSAL 80X50 - 105X50 - 150X50MM 10691</t>
  </si>
  <si>
    <t>LG JUNTA TAPA COMPLETA 105X50MM 10802</t>
  </si>
  <si>
    <t>LG SOPORTE MOSAIC 2 MODULOS 85MM - 105X50 10992</t>
  </si>
  <si>
    <t>LG SOPORTE MOSAIC 3 MODULOS 85MM - 105X50 10993</t>
  </si>
  <si>
    <t>LG SOPORTE UNIVERSAL 3 MODULOS 85MM - 105X50 10916</t>
  </si>
  <si>
    <t>LG TABIQUE SEPARADOR 80X50 - 105X50 - 150X50MM 10582 MTS</t>
  </si>
  <si>
    <t>LG TAPA COMPLETA FLEXIBLE 85MM 105X50MM 10522 MTS</t>
  </si>
  <si>
    <t>LG TAPA EXTREMO 105X50MM 10702</t>
  </si>
  <si>
    <t>SOPORTE UNIVERSAL BAJO PERFIL 100X50MM BTKS-100-50-BL</t>
  </si>
  <si>
    <t>TAPAS ZOLODAS</t>
  </si>
  <si>
    <t>ZL BANDEJA PISO 48X13MM TPP-4813-GR MTS</t>
  </si>
  <si>
    <t>TX BANDEJA 4 VERTICE</t>
  </si>
  <si>
    <t>TX BANDEJA VENTILADA GABINETE MURAL 300MM</t>
  </si>
  <si>
    <t>TX GABINETE 1500X800 32U ARMABLE P/VIDRIO + KIT INST</t>
  </si>
  <si>
    <t>TX GABINETE 2100X1000 42U ARMABLE P/MICRO + KIT INST</t>
  </si>
  <si>
    <t>TX GABINETE 2100X600 42U ARMABLE P/VIDRIO + KIT INST</t>
  </si>
  <si>
    <t>TX GABINETE 2100X800 42U ARMABLE P/MICRO + KIT INST</t>
  </si>
  <si>
    <t>TX GABINETE 2100X800 42U ARMABLE P/VIDRIO + KIT INST</t>
  </si>
  <si>
    <t>TX GABINETE 2200X1200 45U ARMABLE P/MICRO + KIT INST</t>
  </si>
  <si>
    <t>TX GABINETE 2200X800X1200 45U ARM P/MICRO 4 ORD VERT</t>
  </si>
  <si>
    <t>TX GABINETE EXTERIOR IP65 42UX600X800MM</t>
  </si>
  <si>
    <t>TX GABINETE MURAL ARMABLE 6UX450</t>
  </si>
  <si>
    <t>TX GABINETE MURAL EXTERIOR IP65 12UX600X600MM</t>
  </si>
  <si>
    <t>TX KIT TURBINA + CABLE ENCHUFE ITALIANO GABINETE MURAL</t>
  </si>
  <si>
    <t>TX ORDENADOR 19X1U HORIZONTAL TAPA</t>
  </si>
  <si>
    <t>TX ORDENADOR 19X2U HORIZONTAL TAPA</t>
  </si>
  <si>
    <t>TX ORDENADOR VERTICAL 42U</t>
  </si>
  <si>
    <t>TX PACK TUERCA JAULA + PERNO M-6 X 20PCS</t>
  </si>
  <si>
    <t>TX UPS INTERACTIVA RACK APEX 1KVA</t>
  </si>
  <si>
    <t>TX UPS INTERACTIVA RACK APEX 2KVA</t>
  </si>
  <si>
    <t>TX UPS INTERACTIVA RACK APEX 600VA</t>
  </si>
  <si>
    <t>TX UPS ONLINE RACK(450)/TORRE 1KVA WINPRO-1K</t>
  </si>
  <si>
    <t>TX UPS ONLINE RACK(600)/TORRE 2KVA WINPRO-2K</t>
  </si>
  <si>
    <t>TX UPS ONLINE RACK(800)/TORRE 3KVA WINPRO-3K</t>
  </si>
  <si>
    <t>TX UPS ONLINE RACK/TORRE 10KVA WINPRO-10K</t>
  </si>
  <si>
    <t>TX UPS ONLINE RACK/TORRE 6KVA WINPRO-6K</t>
  </si>
  <si>
    <t>ADAPTADOR KEYSTONE MODELO 1</t>
  </si>
  <si>
    <t>ADAPTADOR KEYSTONE MODELO 2</t>
  </si>
  <si>
    <t>ADAPTADOR KEYSTONE MODELO 3</t>
  </si>
  <si>
    <t>CABLE RG6 TX</t>
  </si>
  <si>
    <t>CABLE UTP CAT 3</t>
  </si>
  <si>
    <t>CABLE UTP CAT 5E TX GRIS</t>
  </si>
  <si>
    <t>CABLE UTP CAT 6 EXT UTP TX</t>
  </si>
  <si>
    <t>CABLE UTP CAT 6 INT LSZH LV AZUL</t>
  </si>
  <si>
    <t>CABLE UTP CAT 6 INT LSZH LV GRIS</t>
  </si>
  <si>
    <t>CABLE UTP CAT 6 INT LSZH TX</t>
  </si>
  <si>
    <t>CABLE UTP CAT 6 INT LSZH TX F/UTP</t>
  </si>
  <si>
    <t>CABLE UTP CAT 6A INT U/FTP TX</t>
  </si>
  <si>
    <t>CORDON LIBRE HALOGENO RZ1-K 3X2.5MM NEGRO</t>
  </si>
  <si>
    <t>FACE PLATE HDMI</t>
  </si>
  <si>
    <t>FACE PLATE LV DOBLE</t>
  </si>
  <si>
    <t>FACE PLATE LV SIMPLE</t>
  </si>
  <si>
    <t>FACE PLATE TX 3P</t>
  </si>
  <si>
    <t>LV CORD CAT 6 UTP 0.6 MTS BLANCO LSZH HIGH FLEX 6H460-02W</t>
  </si>
  <si>
    <t>LV CORD CAT 6A U/FTP 2.1 MTS BLANCO LSZH HIGH FLEX H6A10-07W</t>
  </si>
  <si>
    <t>MODULO CAT 5E NEGRO LV</t>
  </si>
  <si>
    <t>MODULO RJ12 CAT 3 BLANCO LV</t>
  </si>
  <si>
    <t>MODULOS CAT 6A F/UTP TX</t>
  </si>
  <si>
    <t>MODULOS CAT6 GENERICOS</t>
  </si>
  <si>
    <t>PACTH PANEL CAT 5E HD DINTEK</t>
  </si>
  <si>
    <t>PACTH PANEL CAT 5E HD TX</t>
  </si>
  <si>
    <t>PACTH PANEL CAT 6 HD LEV</t>
  </si>
  <si>
    <t>PATCH CORDS 0.3 MT LV</t>
  </si>
  <si>
    <t>PATCH CORDS 0.6 MT LV</t>
  </si>
  <si>
    <t>PUNTO CONSOLIDACION MAS TERMINALES</t>
  </si>
  <si>
    <t>SPLITTER POE UBIQUITI 48 V</t>
  </si>
  <si>
    <t>SPLITTER TV 2X1</t>
  </si>
  <si>
    <t>TX ADAPTADOR KEYSTONE MOSAIC 1P BLANCO</t>
  </si>
  <si>
    <t>TX CAPUCHON GRIS X 50 UNID</t>
  </si>
  <si>
    <t>TX CAPUCHON INDUSTRIAL</t>
  </si>
  <si>
    <t>TX CONECTOR RJ45 MPTL MACHO UTP UNIFILAR/MULT S/HERRAM X 25 U</t>
  </si>
  <si>
    <t>TX CORD CAT 6 UTP 2 MTS INDUSTRIAL</t>
  </si>
  <si>
    <t>TX FACE PLATE DOBLE INDUSTRIAL</t>
  </si>
  <si>
    <t>TX FACE PLATE SIMPLE INDUSTRIAL</t>
  </si>
  <si>
    <t>TX MODULO RJ45 CAT 6 INDUSTRIAL</t>
  </si>
  <si>
    <t>TX PLUG RJ-45 CAT 6</t>
  </si>
  <si>
    <t>AUTOMATICO INTELIGENTE</t>
  </si>
  <si>
    <t>BK TABLERO POLIESTER 1 PUERTA 400X300X200MM C/PLACA MONTAJE</t>
  </si>
  <si>
    <t>BK TABLERO POLIESTER 1 PUERTA 500X400X200MM C/PLACA MONTAJE</t>
  </si>
  <si>
    <t>BK TABLERO POLIESTER 1 PUERTA 600X400X230MM C/PLACA MONTAJE</t>
  </si>
  <si>
    <t>BK TABLERO POLIESTER 1 PUERTA 600X500X230MM C/PLACA MONTAJE</t>
  </si>
  <si>
    <t>BK TABLERO POLIESTER 1 PUERTA 800X600X300MM C/PLACA MONTAJE</t>
  </si>
  <si>
    <t>BT MODULO MATIX 10A SEGURIDAD HEMBRA BLANCO AM5100</t>
  </si>
  <si>
    <t>BT PLACA ANODIZADA 1P MAGIC 503/1</t>
  </si>
  <si>
    <t>BT PLACA ANODIZADA 2P MAGIC 503/2</t>
  </si>
  <si>
    <t>BT RIELES PLASTICOS 3P MAGIC 503R</t>
  </si>
  <si>
    <t>CABLE LSZH 2.5 MM B X 100</t>
  </si>
  <si>
    <t>CABLE LSZH 2.5 MM R X 100</t>
  </si>
  <si>
    <t>CALOTAS</t>
  </si>
  <si>
    <t>CAMION POR MONTAJE DE POSTE + TABLERO + ANTENAS</t>
  </si>
  <si>
    <t>CONECTOR RAPIDO 2 PIN</t>
  </si>
  <si>
    <t>CONECTOR RAPIDO 4 PIN</t>
  </si>
  <si>
    <t>CTO TABLEROS</t>
  </si>
  <si>
    <t>ENCHUFE INDUSTRIAL HEMBRA 16 AMP</t>
  </si>
  <si>
    <t>ENCHUFE INDUSTRIAL MACHO 16 AMP</t>
  </si>
  <si>
    <t>LG AUTOMATICO 1X10A 6KA CURVA C RX3 419838</t>
  </si>
  <si>
    <t>LG AUTOMATICO 1X16A 6KA CURVA C RX3 419840</t>
  </si>
  <si>
    <t>LG AUTOMATICO 1X20A 6KA CURVA C RX3 419841</t>
  </si>
  <si>
    <t>LG AUTOMATICO 1X25A 6KA CURVA C RX3 419842</t>
  </si>
  <si>
    <t>LG AUTOMATICO 1X6A 6KA CURVA C RX3 419837</t>
  </si>
  <si>
    <t>LG INTERRUPTOR DIFERENCIAL 2X25A 30MA HPI 411590</t>
  </si>
  <si>
    <t>LG INTERRUPTOR DIFERENCIAL 2X25A 30MA RX3 402024</t>
  </si>
  <si>
    <t>LG INTERRUPTOR DIFERENCIAL 2X40A 30MA HPI 411590</t>
  </si>
  <si>
    <t>LX TABLERO METAL 1 PUERTA 300X200X150 IP65</t>
  </si>
  <si>
    <t>LX TABLERO METAL 1 PUERTA 300X300X200 IP65</t>
  </si>
  <si>
    <t>LX TABLERO METAL 1 PUERTA 400X300X200 IP65</t>
  </si>
  <si>
    <t>LX TABLERO METAL 1 PUERTA 500X400X200 IP65</t>
  </si>
  <si>
    <t>LX TABLERO METAL 1 PUERTA 600X400X200 IP65</t>
  </si>
  <si>
    <t>LX TABLERO METAL 1 PUERTA 800X600X200 IP65</t>
  </si>
  <si>
    <t>MONTAJE DE TABLERO</t>
  </si>
  <si>
    <t>RED ELECTRICA POSTE</t>
  </si>
  <si>
    <t>RIEL DIN</t>
  </si>
  <si>
    <t>TABLERO</t>
  </si>
  <si>
    <t>TABLERO ELECTRICO ELECTRICO SOBRE PUESTO 36 P</t>
  </si>
  <si>
    <t>TERMINAL CONICO AMARRILLO 12-10AWG</t>
  </si>
  <si>
    <t>TERMINAL FERRUL 2.5MM X 100 GRIS</t>
  </si>
  <si>
    <t>TK TERMINAL FERRUL 2.5MM X 100 UD</t>
  </si>
  <si>
    <t>TX KIT RIELES 19 UPS WINPRO</t>
  </si>
  <si>
    <t>TX TARJETA SNMP UPS ONLINE WINPRO</t>
  </si>
  <si>
    <t>TX UPS INTERACTIVA TORRE 1KVA VEST-1K</t>
  </si>
  <si>
    <t>TX UPS INTERACTIVA TORRE 2KVA VEST-2K</t>
  </si>
  <si>
    <t>TX UPS INTERACTIVA TORRE MONO 1.5KVA VEST-1.5K</t>
  </si>
  <si>
    <t>TX UPS INTERACTIVA TORRE MONO 600VA APEX-600VA</t>
  </si>
  <si>
    <t>TX UPS ONLINE TORRE 10KVA WINPRO-10K</t>
  </si>
  <si>
    <t>TX UPS ONLINE TORRE 6KVA WINPRO-6K</t>
  </si>
  <si>
    <t>CABECERA DESLIZABLE CON COPLAS SF+CASSET</t>
  </si>
  <si>
    <t>CABECERA MURAL SC</t>
  </si>
  <si>
    <t>CABLE F.O EXT SM 24 F</t>
  </si>
  <si>
    <t>CABLE F.O EXT SM 6 F</t>
  </si>
  <si>
    <t>CABLE F.O INT AQUA 6 F</t>
  </si>
  <si>
    <t>CABLE F.O OM1 NARANJA</t>
  </si>
  <si>
    <t>FIBRA OPTICA SM 6 F EXTERIOR + INSTALACION + FERRETERIA</t>
  </si>
  <si>
    <t>FUSION FO CABECERA</t>
  </si>
  <si>
    <t>FUSION FO MUFA</t>
  </si>
  <si>
    <t>JUMPER DUPLEX OM3 LC-LC 1 MTS</t>
  </si>
  <si>
    <t>JUMPER DUPLEX OM3 LC-LC 2 MTS</t>
  </si>
  <si>
    <t>JUMPER DUPLEX OM3 LC-SC 5 MTS</t>
  </si>
  <si>
    <t>JUMPER DUPLEX SM LC-FC 2 MTS</t>
  </si>
  <si>
    <t>JUMPER DUPLEX SM LC-LC 1 MTS PIGTAIL X 12</t>
  </si>
  <si>
    <t>JUMPER DUPLEX SM LC-LC 2 MTS CRUZADA</t>
  </si>
  <si>
    <t>JUMPER DUPLEX SM LC-LC 2 MTS PIGTAIL</t>
  </si>
  <si>
    <t>JUMPER DUPLEX SM LC-SC 3 MTS</t>
  </si>
  <si>
    <t>JUMPER DUPLEX SM SC-SC 2 MTS</t>
  </si>
  <si>
    <t>MANGUITO TERMO FUSION 60MM 50 UNI</t>
  </si>
  <si>
    <t>MINI PLACAS OM3 LC 12 GUIAS</t>
  </si>
  <si>
    <t>MINI PLACAS SM SC 12 GUIAS</t>
  </si>
  <si>
    <t>MODULO SFP MM CUDY 550M 1.25G DUPLEX</t>
  </si>
  <si>
    <t>MODULO SFP MM UBIQUITI 550M 1.G DUPLEX</t>
  </si>
  <si>
    <t>MODULO SFP SM CUDY 20K 1.25G DUPLEX</t>
  </si>
  <si>
    <t>MUFA DOMO 144 F VERTICAL</t>
  </si>
  <si>
    <t>MUFA DOMO 48 F VERTICAL</t>
  </si>
  <si>
    <t>TOALLITAS CAJAS</t>
  </si>
  <si>
    <t>UNIFI SFP+DIRECT ATTACH COPPER CABLE 10 GB 1 MT</t>
  </si>
  <si>
    <t>UNIFI SFP+DIRECT ATTACH COPPER CABLE 10 GB 2 MT</t>
  </si>
  <si>
    <t>ADHESIVO MONTAJE</t>
  </si>
  <si>
    <t>ALAMBRE ACERADO – 1.5 MM</t>
  </si>
  <si>
    <t>CANCAMO LARGO TUERCA</t>
  </si>
  <si>
    <t>CINTA DE PELIGRO</t>
  </si>
  <si>
    <t>CINTA PARED GRUESA</t>
  </si>
  <si>
    <t>NO MAS CLAVO</t>
  </si>
  <si>
    <t>PASTA MURO</t>
  </si>
  <si>
    <t>PEGAMENTO</t>
  </si>
  <si>
    <t>PERNOS DE ANCLAJE 5/16 18*3 3 3/16</t>
  </si>
  <si>
    <t>SILICONA VEHICULO</t>
  </si>
  <si>
    <t>TARUGO 8 MM</t>
  </si>
  <si>
    <t>TARUGOS 6MM X 100</t>
  </si>
  <si>
    <t>TENSORES</t>
  </si>
  <si>
    <t>TIRA FONDO</t>
  </si>
  <si>
    <t>TK AMARRA CABLE NEGRO 4.8X300MM X 100 PCS</t>
  </si>
  <si>
    <t>TORNILLOS 6MM</t>
  </si>
  <si>
    <t>TORNILLOS AUTOPERFORANTE 1/2`` LENTEJAS LARGOS</t>
  </si>
  <si>
    <t>TORNILLOS AUTOPERFORANTE 1`` LENTEJAS CORTOS</t>
  </si>
  <si>
    <t>TORNILLOS AUTOPERFORANTE 1``HEXAGONAL</t>
  </si>
  <si>
    <t>TUERCA HEXA 1/4</t>
  </si>
  <si>
    <t>TUERCA HEXA 3/8</t>
  </si>
  <si>
    <t>UNIÓN GRAPA CON PERNO</t>
  </si>
  <si>
    <t>UNIÓN RAPIDA ALTURA 50 Y 100MM - ZINCADA</t>
  </si>
  <si>
    <t>VARILLA ROSCADA M10X3000</t>
  </si>
  <si>
    <t>ABRAZADERA METALICA OMEGA 40MM TSP-40</t>
  </si>
  <si>
    <t>ABRAZADERA METALICA OMEGA 50MM TSP-50</t>
  </si>
  <si>
    <t>ABRAZADERAS OMEGA 16MM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</si>
</sst>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_ ;_ * \-#,##0_ ;_ * &quot;-&quot;_ ;_ @_ "/>
    <numFmt numFmtId="165" formatCode="&quot;$&quot;#,##0;[Red]&quot;$&quot;#,##0"/>
    <numFmt numFmtId="166" formatCode="_ &quot;$&quot;* #,##0_ ;_ &quot;$&quot;* \-#,##0_ ;_ &quot;$&quot;* &quot;-&quot;_ ;_ @_ 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sz val="11"/>
      <name val="Calibri Light"/>
      <family val="2"/>
      <scheme val="major"/>
    </font>
    <font>
      <b/>
      <sz val="26"/>
      <color theme="1"/>
      <name val="Calibri"/>
      <family val="2"/>
    </font>
    <font>
      <u/>
      <sz val="11"/>
      <color rgb="FF0000FF"/>
      <name val="Arial"/>
      <family val="2"/>
    </font>
    <font>
      <sz val="11"/>
      <color theme="1"/>
      <name val="Calibri Light"/>
      <family val="2"/>
      <scheme val="major"/>
    </font>
    <font>
      <b/>
      <sz val="24"/>
      <color theme="1"/>
      <name val="Calibri"/>
      <family val="2"/>
    </font>
    <font>
      <b/>
      <sz val="36"/>
      <color theme="1"/>
      <name val="Calibri"/>
      <family val="2"/>
    </font>
    <font>
      <b/>
      <sz val="11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b/>
      <sz val="11"/>
      <color theme="1"/>
      <name val="Arial"/>
      <family val="2"/>
    </font>
    <font>
      <b/>
      <sz val="14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66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/>
  </cellStyleXfs>
  <cellXfs count="10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164" fontId="0" fillId="0" borderId="0" xfId="1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/>
    <xf numFmtId="0" fontId="0" fillId="3" borderId="0" xfId="0" applyFill="1"/>
    <xf numFmtId="0" fontId="2" fillId="0" borderId="1" xfId="0" applyFont="1" applyBorder="1"/>
    <xf numFmtId="165" fontId="7" fillId="0" borderId="2" xfId="2" applyNumberFormat="1" applyFont="1" applyBorder="1" applyAlignment="1">
      <alignment horizontal="center"/>
    </xf>
    <xf numFmtId="165" fontId="7" fillId="0" borderId="3" xfId="2" applyNumberFormat="1" applyFont="1" applyBorder="1"/>
    <xf numFmtId="0" fontId="7" fillId="0" borderId="2" xfId="2" applyFont="1" applyBorder="1" applyAlignment="1">
      <alignment horizontal="center"/>
    </xf>
    <xf numFmtId="0" fontId="7" fillId="0" borderId="2" xfId="2" applyFont="1" applyBorder="1" applyAlignment="1">
      <alignment vertical="center"/>
    </xf>
    <xf numFmtId="0" fontId="8" fillId="4" borderId="2" xfId="0" applyFont="1" applyFill="1" applyBorder="1" applyAlignment="1">
      <alignment horizontal="center" vertical="center" textRotation="90"/>
    </xf>
    <xf numFmtId="0" fontId="2" fillId="0" borderId="4" xfId="0" applyFont="1" applyBorder="1"/>
    <xf numFmtId="0" fontId="9" fillId="5" borderId="5" xfId="0" applyFont="1" applyFill="1" applyBorder="1"/>
    <xf numFmtId="165" fontId="7" fillId="5" borderId="6" xfId="2" applyNumberFormat="1" applyFont="1" applyFill="1" applyBorder="1" applyAlignment="1">
      <alignment horizontal="center"/>
    </xf>
    <xf numFmtId="165" fontId="7" fillId="5" borderId="0" xfId="2" applyNumberFormat="1" applyFont="1" applyFill="1"/>
    <xf numFmtId="0" fontId="7" fillId="5" borderId="6" xfId="2" applyFont="1" applyFill="1" applyBorder="1" applyAlignment="1">
      <alignment horizontal="center"/>
    </xf>
    <xf numFmtId="0" fontId="7" fillId="5" borderId="6" xfId="2" applyFont="1" applyFill="1" applyBorder="1" applyAlignment="1">
      <alignment vertical="center"/>
    </xf>
    <xf numFmtId="0" fontId="8" fillId="4" borderId="6" xfId="0" applyFont="1" applyFill="1" applyBorder="1" applyAlignment="1">
      <alignment horizontal="center" vertical="center" textRotation="90"/>
    </xf>
    <xf numFmtId="0" fontId="2" fillId="0" borderId="5" xfId="0" applyFont="1" applyBorder="1"/>
    <xf numFmtId="165" fontId="7" fillId="0" borderId="6" xfId="2" applyNumberFormat="1" applyFont="1" applyBorder="1" applyAlignment="1">
      <alignment horizontal="center"/>
    </xf>
    <xf numFmtId="165" fontId="7" fillId="0" borderId="0" xfId="2" applyNumberFormat="1" applyFont="1"/>
    <xf numFmtId="0" fontId="7" fillId="0" borderId="6" xfId="2" applyFont="1" applyBorder="1" applyAlignment="1">
      <alignment horizontal="center"/>
    </xf>
    <xf numFmtId="0" fontId="7" fillId="0" borderId="6" xfId="2" applyFont="1" applyBorder="1" applyAlignment="1">
      <alignment vertical="center"/>
    </xf>
    <xf numFmtId="0" fontId="2" fillId="5" borderId="7" xfId="0" applyFont="1" applyFill="1" applyBorder="1"/>
    <xf numFmtId="165" fontId="7" fillId="5" borderId="8" xfId="2" applyNumberFormat="1" applyFont="1" applyFill="1" applyBorder="1" applyAlignment="1">
      <alignment horizontal="center"/>
    </xf>
    <xf numFmtId="165" fontId="7" fillId="5" borderId="9" xfId="2" applyNumberFormat="1" applyFont="1" applyFill="1" applyBorder="1"/>
    <xf numFmtId="0" fontId="7" fillId="5" borderId="8" xfId="2" applyFont="1" applyFill="1" applyBorder="1" applyAlignment="1">
      <alignment horizontal="center"/>
    </xf>
    <xf numFmtId="0" fontId="7" fillId="5" borderId="8" xfId="2" applyFont="1" applyFill="1" applyBorder="1" applyAlignment="1">
      <alignment vertical="center"/>
    </xf>
    <xf numFmtId="0" fontId="8" fillId="4" borderId="8" xfId="0" applyFont="1" applyFill="1" applyBorder="1" applyAlignment="1">
      <alignment horizontal="center" vertical="center" textRotation="90"/>
    </xf>
    <xf numFmtId="0" fontId="0" fillId="0" borderId="2" xfId="0" applyBorder="1" applyAlignment="1">
      <alignment horizontal="center"/>
    </xf>
    <xf numFmtId="0" fontId="10" fillId="0" borderId="2" xfId="2" applyFont="1" applyBorder="1" applyAlignment="1">
      <alignment vertical="center"/>
    </xf>
    <xf numFmtId="0" fontId="11" fillId="4" borderId="6" xfId="0" applyFont="1" applyFill="1" applyBorder="1" applyAlignment="1">
      <alignment horizontal="center" vertical="center" textRotation="90"/>
    </xf>
    <xf numFmtId="0" fontId="10" fillId="0" borderId="6" xfId="2" applyFont="1" applyBorder="1" applyAlignment="1">
      <alignment vertical="center"/>
    </xf>
    <xf numFmtId="0" fontId="2" fillId="5" borderId="5" xfId="0" applyFont="1" applyFill="1" applyBorder="1"/>
    <xf numFmtId="0" fontId="10" fillId="5" borderId="6" xfId="2" applyFont="1" applyFill="1" applyBorder="1" applyAlignment="1">
      <alignment vertical="center"/>
    </xf>
    <xf numFmtId="0" fontId="2" fillId="0" borderId="7" xfId="0" applyFont="1" applyBorder="1"/>
    <xf numFmtId="165" fontId="7" fillId="0" borderId="8" xfId="2" applyNumberFormat="1" applyFont="1" applyBorder="1" applyAlignment="1">
      <alignment horizontal="center"/>
    </xf>
    <xf numFmtId="165" fontId="7" fillId="0" borderId="9" xfId="2" applyNumberFormat="1" applyFont="1" applyBorder="1"/>
    <xf numFmtId="0" fontId="7" fillId="0" borderId="8" xfId="2" applyFont="1" applyBorder="1" applyAlignment="1">
      <alignment horizontal="center"/>
    </xf>
    <xf numFmtId="0" fontId="10" fillId="0" borderId="8" xfId="2" applyFont="1" applyBorder="1" applyAlignment="1">
      <alignment vertical="center"/>
    </xf>
    <xf numFmtId="0" fontId="11" fillId="4" borderId="8" xfId="0" applyFont="1" applyFill="1" applyBorder="1" applyAlignment="1">
      <alignment horizontal="center" vertical="center" textRotation="90"/>
    </xf>
    <xf numFmtId="165" fontId="7" fillId="5" borderId="3" xfId="2" applyNumberFormat="1" applyFont="1" applyFill="1" applyBorder="1"/>
    <xf numFmtId="0" fontId="7" fillId="5" borderId="10" xfId="2" applyFont="1" applyFill="1" applyBorder="1" applyAlignment="1">
      <alignment vertical="center"/>
    </xf>
    <xf numFmtId="0" fontId="12" fillId="4" borderId="6" xfId="0" applyFont="1" applyFill="1" applyBorder="1" applyAlignment="1">
      <alignment horizontal="center" vertical="center" textRotation="90"/>
    </xf>
    <xf numFmtId="0" fontId="7" fillId="0" borderId="10" xfId="2" applyFont="1" applyBorder="1" applyAlignment="1">
      <alignment vertical="center"/>
    </xf>
    <xf numFmtId="0" fontId="2" fillId="5" borderId="11" xfId="0" applyFont="1" applyFill="1" applyBorder="1"/>
    <xf numFmtId="165" fontId="7" fillId="5" borderId="12" xfId="2" applyNumberFormat="1" applyFont="1" applyFill="1" applyBorder="1" applyAlignment="1">
      <alignment horizontal="center"/>
    </xf>
    <xf numFmtId="165" fontId="7" fillId="5" borderId="13" xfId="2" applyNumberFormat="1" applyFont="1" applyFill="1" applyBorder="1"/>
    <xf numFmtId="0" fontId="7" fillId="5" borderId="12" xfId="2" applyFont="1" applyFill="1" applyBorder="1" applyAlignment="1">
      <alignment horizontal="center"/>
    </xf>
    <xf numFmtId="0" fontId="7" fillId="5" borderId="14" xfId="2" applyFont="1" applyFill="1" applyBorder="1" applyAlignment="1">
      <alignment vertical="center"/>
    </xf>
    <xf numFmtId="0" fontId="13" fillId="4" borderId="12" xfId="2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 textRotation="90"/>
    </xf>
    <xf numFmtId="0" fontId="14" fillId="0" borderId="10" xfId="2" applyFont="1" applyBorder="1" applyAlignment="1">
      <alignment vertical="center"/>
    </xf>
    <xf numFmtId="0" fontId="14" fillId="5" borderId="10" xfId="2" applyFont="1" applyFill="1" applyBorder="1" applyAlignment="1">
      <alignment vertical="center"/>
    </xf>
    <xf numFmtId="0" fontId="7" fillId="5" borderId="15" xfId="2" applyFont="1" applyFill="1" applyBorder="1" applyAlignment="1">
      <alignment vertical="center"/>
    </xf>
    <xf numFmtId="164" fontId="2" fillId="0" borderId="7" xfId="0" applyNumberFormat="1" applyFont="1" applyBorder="1"/>
    <xf numFmtId="0" fontId="12" fillId="4" borderId="15" xfId="0" applyFont="1" applyFill="1" applyBorder="1" applyAlignment="1">
      <alignment horizontal="center" vertical="center" textRotation="90"/>
    </xf>
    <xf numFmtId="0" fontId="7" fillId="5" borderId="6" xfId="2" applyFont="1" applyFill="1" applyBorder="1" applyAlignment="1">
      <alignment horizontal="center" vertical="center"/>
    </xf>
    <xf numFmtId="0" fontId="10" fillId="5" borderId="16" xfId="2" applyFont="1" applyFill="1" applyBorder="1" applyAlignment="1">
      <alignment vertical="center"/>
    </xf>
    <xf numFmtId="0" fontId="7" fillId="0" borderId="6" xfId="2" applyFont="1" applyBorder="1" applyAlignment="1">
      <alignment horizontal="center" vertical="center"/>
    </xf>
    <xf numFmtId="0" fontId="10" fillId="5" borderId="10" xfId="2" applyFont="1" applyFill="1" applyBorder="1" applyAlignment="1">
      <alignment vertical="center"/>
    </xf>
    <xf numFmtId="0" fontId="10" fillId="0" borderId="10" xfId="2" applyFont="1" applyBorder="1" applyAlignment="1">
      <alignment vertical="center"/>
    </xf>
    <xf numFmtId="165" fontId="7" fillId="3" borderId="9" xfId="2" applyNumberFormat="1" applyFont="1" applyFill="1" applyBorder="1"/>
    <xf numFmtId="0" fontId="7" fillId="0" borderId="8" xfId="2" applyFont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 textRotation="90"/>
    </xf>
    <xf numFmtId="165" fontId="7" fillId="0" borderId="2" xfId="2" applyNumberFormat="1" applyFont="1" applyBorder="1"/>
    <xf numFmtId="0" fontId="12" fillId="4" borderId="2" xfId="0" applyFont="1" applyFill="1" applyBorder="1" applyAlignment="1">
      <alignment horizontal="center" vertical="center" textRotation="90"/>
    </xf>
    <xf numFmtId="0" fontId="7" fillId="5" borderId="8" xfId="2" applyFont="1" applyFill="1" applyBorder="1" applyAlignment="1">
      <alignment horizontal="center" vertical="center"/>
    </xf>
    <xf numFmtId="0" fontId="2" fillId="0" borderId="6" xfId="0" applyFont="1" applyBorder="1"/>
    <xf numFmtId="0" fontId="7" fillId="0" borderId="16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14" fillId="0" borderId="16" xfId="2" applyFont="1" applyBorder="1" applyAlignment="1">
      <alignment vertical="center"/>
    </xf>
    <xf numFmtId="0" fontId="2" fillId="5" borderId="6" xfId="0" applyFont="1" applyFill="1" applyBorder="1"/>
    <xf numFmtId="165" fontId="7" fillId="5" borderId="6" xfId="2" applyNumberFormat="1" applyFont="1" applyFill="1" applyBorder="1"/>
    <xf numFmtId="0" fontId="7" fillId="5" borderId="10" xfId="2" applyFont="1" applyFill="1" applyBorder="1" applyAlignment="1">
      <alignment horizontal="center"/>
    </xf>
    <xf numFmtId="165" fontId="7" fillId="0" borderId="6" xfId="2" applyNumberFormat="1" applyFont="1" applyBorder="1"/>
    <xf numFmtId="0" fontId="7" fillId="0" borderId="10" xfId="2" applyFont="1" applyBorder="1" applyAlignment="1">
      <alignment horizontal="center"/>
    </xf>
    <xf numFmtId="0" fontId="2" fillId="0" borderId="8" xfId="0" applyFont="1" applyBorder="1"/>
    <xf numFmtId="0" fontId="7" fillId="0" borderId="15" xfId="2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3" fillId="4" borderId="17" xfId="0" applyFont="1" applyFill="1" applyBorder="1" applyAlignment="1">
      <alignment horizontal="center"/>
    </xf>
    <xf numFmtId="0" fontId="3" fillId="4" borderId="18" xfId="0" applyFont="1" applyFill="1" applyBorder="1" applyAlignment="1">
      <alignment horizontal="center"/>
    </xf>
    <xf numFmtId="0" fontId="3" fillId="4" borderId="19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2" fillId="4" borderId="12" xfId="0" applyFont="1" applyFill="1" applyBorder="1"/>
    <xf numFmtId="0" fontId="2" fillId="0" borderId="0" xfId="0" applyFont="1" applyAlignment="1">
      <alignment horizontal="center"/>
    </xf>
    <xf numFmtId="0" fontId="15" fillId="0" borderId="9" xfId="0" applyFont="1" applyBorder="1" applyAlignment="1">
      <alignment horizontal="right"/>
    </xf>
    <xf numFmtId="0" fontId="16" fillId="0" borderId="0" xfId="0" applyFont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4" borderId="12" xfId="0" applyFont="1" applyFill="1" applyBorder="1"/>
    <xf numFmtId="17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0" fillId="0" borderId="15" xfId="2" applyFont="1" applyBorder="1" applyAlignment="1">
      <alignment vertical="center"/>
    </xf>
    <xf numFmtId="0" fontId="10" fillId="5" borderId="15" xfId="2" applyFont="1" applyFill="1" applyBorder="1" applyAlignment="1">
      <alignment vertical="center"/>
    </xf>
  </cellXfs>
  <cellStyles count="3">
    <cellStyle name="Millares [0]" xfId="1" builtinId="6"/>
    <cellStyle name="Normal" xfId="0" builtinId="0"/>
    <cellStyle name="Normal 2" xfId="2" xr:uid="{19980894-330D-4817-96E7-C62799791D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156883</xdr:colOff>
      <xdr:row>0</xdr:row>
      <xdr:rowOff>70787</xdr:rowOff>
    </xdr:from>
    <xdr:ext cx="4466664" cy="1049544"/>
    <xdr:pic>
      <xdr:nvPicPr>
        <xdr:cNvPr id="2" name="Imagen 1">
          <a:extLst>
            <a:ext uri="{FF2B5EF4-FFF2-40B4-BE49-F238E27FC236}">
              <a16:creationId xmlns:a16="http://schemas.microsoft.com/office/drawing/2014/main" id="{BB4F60FE-7D6C-42A8-8F06-2BAB38503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2883" y="70787"/>
          <a:ext cx="4466664" cy="1049544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book%20G6%2015\Downloads\Costos.csv" TargetMode="External"/><Relationship Id="rId1" Type="http://schemas.openxmlformats.org/officeDocument/2006/relationships/externalLinkPath" Target="Costo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ores ESTEC"/>
    </sheetNames>
    <sheetDataSet>
      <sheetData sheetId="0">
        <row r="38">
          <cell r="G38">
            <v>7810</v>
          </cell>
        </row>
        <row r="47">
          <cell r="G47">
            <v>2002.5</v>
          </cell>
        </row>
        <row r="48">
          <cell r="G48">
            <v>5488.75</v>
          </cell>
        </row>
        <row r="49">
          <cell r="G49">
            <v>33970</v>
          </cell>
        </row>
        <row r="56">
          <cell r="G56">
            <v>10247.5</v>
          </cell>
        </row>
        <row r="57">
          <cell r="G57">
            <v>11802.5</v>
          </cell>
        </row>
        <row r="63">
          <cell r="G63">
            <v>4876.25</v>
          </cell>
        </row>
        <row r="64">
          <cell r="G64">
            <v>258.75</v>
          </cell>
        </row>
        <row r="65">
          <cell r="G65">
            <v>412.5</v>
          </cell>
        </row>
        <row r="66">
          <cell r="G66">
            <v>512.5</v>
          </cell>
        </row>
        <row r="67">
          <cell r="G67">
            <v>388.75</v>
          </cell>
        </row>
        <row r="68">
          <cell r="G68">
            <v>2813.75</v>
          </cell>
        </row>
        <row r="69">
          <cell r="G69">
            <v>335</v>
          </cell>
        </row>
        <row r="70">
          <cell r="G70">
            <v>471.25</v>
          </cell>
        </row>
        <row r="71">
          <cell r="G71">
            <v>777.5</v>
          </cell>
        </row>
        <row r="72">
          <cell r="G72">
            <v>436.25</v>
          </cell>
        </row>
        <row r="73">
          <cell r="G73">
            <v>3598.75</v>
          </cell>
        </row>
        <row r="74">
          <cell r="G74">
            <v>1457.5</v>
          </cell>
        </row>
        <row r="75">
          <cell r="G75">
            <v>1766.25</v>
          </cell>
        </row>
        <row r="76">
          <cell r="G76">
            <v>23597.5</v>
          </cell>
        </row>
        <row r="77">
          <cell r="G77">
            <v>907.5</v>
          </cell>
        </row>
        <row r="78">
          <cell r="G78">
            <v>28036.25</v>
          </cell>
        </row>
        <row r="80">
          <cell r="G80">
            <v>5527.5</v>
          </cell>
        </row>
        <row r="81">
          <cell r="G81">
            <v>2780</v>
          </cell>
        </row>
        <row r="82">
          <cell r="G82">
            <v>4452.5</v>
          </cell>
        </row>
        <row r="83">
          <cell r="G83">
            <v>14995</v>
          </cell>
        </row>
        <row r="84">
          <cell r="G84">
            <v>4873.75</v>
          </cell>
        </row>
        <row r="85">
          <cell r="G85">
            <v>3203.75</v>
          </cell>
        </row>
        <row r="86">
          <cell r="G86">
            <v>2108.75</v>
          </cell>
        </row>
        <row r="87">
          <cell r="G87">
            <v>898.75</v>
          </cell>
        </row>
        <row r="88">
          <cell r="G88">
            <v>4122.5</v>
          </cell>
        </row>
        <row r="89">
          <cell r="G89">
            <v>530</v>
          </cell>
        </row>
        <row r="90">
          <cell r="G90">
            <v>452.5</v>
          </cell>
        </row>
        <row r="91">
          <cell r="G91">
            <v>636.25</v>
          </cell>
        </row>
        <row r="92">
          <cell r="G92">
            <v>730</v>
          </cell>
        </row>
        <row r="93">
          <cell r="G93">
            <v>518.75</v>
          </cell>
        </row>
        <row r="101">
          <cell r="G101">
            <v>22038.75</v>
          </cell>
        </row>
        <row r="102">
          <cell r="G102">
            <v>953.75</v>
          </cell>
        </row>
        <row r="103">
          <cell r="G103">
            <v>1755</v>
          </cell>
        </row>
        <row r="104">
          <cell r="G104">
            <v>2850</v>
          </cell>
        </row>
        <row r="107">
          <cell r="G107">
            <v>48340</v>
          </cell>
        </row>
        <row r="113">
          <cell r="G113">
            <v>23158.75</v>
          </cell>
        </row>
        <row r="115">
          <cell r="G115">
            <v>40051.25</v>
          </cell>
        </row>
        <row r="116">
          <cell r="G116">
            <v>40051.25</v>
          </cell>
        </row>
        <row r="117">
          <cell r="G117">
            <v>40051.25</v>
          </cell>
        </row>
        <row r="118">
          <cell r="G118">
            <v>1171.25</v>
          </cell>
        </row>
        <row r="119">
          <cell r="G119">
            <v>2293.75</v>
          </cell>
        </row>
        <row r="123">
          <cell r="G123">
            <v>721.25</v>
          </cell>
        </row>
        <row r="124">
          <cell r="G124">
            <v>75</v>
          </cell>
        </row>
        <row r="125">
          <cell r="G125">
            <v>208.75</v>
          </cell>
        </row>
        <row r="126">
          <cell r="G126">
            <v>930</v>
          </cell>
        </row>
        <row r="127">
          <cell r="G127">
            <v>95</v>
          </cell>
        </row>
        <row r="128">
          <cell r="G128">
            <v>267.5</v>
          </cell>
        </row>
        <row r="129">
          <cell r="G129">
            <v>1410</v>
          </cell>
        </row>
        <row r="130">
          <cell r="G130">
            <v>215</v>
          </cell>
        </row>
        <row r="131">
          <cell r="G131">
            <v>330</v>
          </cell>
        </row>
        <row r="170">
          <cell r="G170">
            <v>75090</v>
          </cell>
        </row>
        <row r="172">
          <cell r="G172">
            <v>99661.25</v>
          </cell>
        </row>
        <row r="174">
          <cell r="G174">
            <v>118778.75</v>
          </cell>
        </row>
        <row r="175">
          <cell r="G175">
            <v>129697.5</v>
          </cell>
        </row>
        <row r="176">
          <cell r="G176">
            <v>143348.75</v>
          </cell>
        </row>
        <row r="177">
          <cell r="G177">
            <v>341305</v>
          </cell>
        </row>
        <row r="178">
          <cell r="G178">
            <v>668970</v>
          </cell>
        </row>
        <row r="179">
          <cell r="G179">
            <v>450530</v>
          </cell>
        </row>
        <row r="180">
          <cell r="G180">
            <v>559743.75</v>
          </cell>
        </row>
        <row r="181">
          <cell r="G181">
            <v>505137.5</v>
          </cell>
        </row>
        <row r="183">
          <cell r="G183">
            <v>860105</v>
          </cell>
        </row>
        <row r="184">
          <cell r="G184">
            <v>901060</v>
          </cell>
        </row>
        <row r="185">
          <cell r="G185">
            <v>1160455</v>
          </cell>
        </row>
        <row r="186">
          <cell r="G186">
            <v>368620</v>
          </cell>
        </row>
        <row r="187">
          <cell r="G187">
            <v>5795</v>
          </cell>
        </row>
        <row r="188">
          <cell r="G188">
            <v>9552.5</v>
          </cell>
        </row>
        <row r="189">
          <cell r="G189">
            <v>61438.75</v>
          </cell>
        </row>
        <row r="194">
          <cell r="G194">
            <v>3056.25</v>
          </cell>
        </row>
        <row r="195">
          <cell r="G195">
            <v>16323.75</v>
          </cell>
        </row>
        <row r="204">
          <cell r="G204">
            <v>3798.75</v>
          </cell>
        </row>
        <row r="205">
          <cell r="G205">
            <v>3798.75</v>
          </cell>
        </row>
        <row r="206">
          <cell r="G206">
            <v>3798.75</v>
          </cell>
        </row>
        <row r="207">
          <cell r="G207">
            <v>3798.75</v>
          </cell>
        </row>
        <row r="208">
          <cell r="G208">
            <v>3798.75</v>
          </cell>
        </row>
        <row r="209">
          <cell r="G209">
            <v>128675</v>
          </cell>
        </row>
        <row r="210">
          <cell r="G210">
            <v>20262.5</v>
          </cell>
        </row>
        <row r="217">
          <cell r="G217">
            <v>2473.75</v>
          </cell>
        </row>
        <row r="223">
          <cell r="E223">
            <v>867</v>
          </cell>
        </row>
        <row r="249">
          <cell r="G249">
            <v>181747.5</v>
          </cell>
        </row>
        <row r="250">
          <cell r="G250">
            <v>230323.75</v>
          </cell>
        </row>
        <row r="251">
          <cell r="G251">
            <v>106563.75</v>
          </cell>
        </row>
        <row r="252">
          <cell r="G252">
            <v>98883.75</v>
          </cell>
        </row>
        <row r="253">
          <cell r="G253">
            <v>150757.5</v>
          </cell>
        </row>
        <row r="254">
          <cell r="G254">
            <v>129013.75</v>
          </cell>
        </row>
        <row r="255">
          <cell r="G255">
            <v>60507.5</v>
          </cell>
        </row>
        <row r="256">
          <cell r="G256">
            <v>269253.75</v>
          </cell>
        </row>
        <row r="257">
          <cell r="G257">
            <v>448857.5</v>
          </cell>
        </row>
        <row r="258">
          <cell r="G258">
            <v>588272.5</v>
          </cell>
        </row>
        <row r="259">
          <cell r="G259">
            <v>1836043.75</v>
          </cell>
        </row>
        <row r="260">
          <cell r="G260">
            <v>1503396.25</v>
          </cell>
        </row>
        <row r="261">
          <cell r="G261">
            <v>1536460</v>
          </cell>
        </row>
        <row r="262">
          <cell r="G262">
            <v>1120053.75</v>
          </cell>
        </row>
        <row r="263">
          <cell r="G263">
            <v>121333.75</v>
          </cell>
        </row>
        <row r="264">
          <cell r="G264">
            <v>46632.5</v>
          </cell>
        </row>
        <row r="265">
          <cell r="G265">
            <v>1472.5</v>
          </cell>
        </row>
        <row r="280">
          <cell r="G280">
            <v>10236.25</v>
          </cell>
        </row>
        <row r="290">
          <cell r="G290">
            <v>53923.75</v>
          </cell>
        </row>
        <row r="313">
          <cell r="G313">
            <v>19766.25</v>
          </cell>
        </row>
        <row r="314">
          <cell r="G314">
            <v>27368.75</v>
          </cell>
        </row>
        <row r="315">
          <cell r="G315">
            <v>31931.25</v>
          </cell>
        </row>
        <row r="316">
          <cell r="G316">
            <v>47136.25</v>
          </cell>
        </row>
        <row r="317">
          <cell r="G317">
            <v>60820</v>
          </cell>
        </row>
        <row r="318">
          <cell r="G318">
            <v>102633.75</v>
          </cell>
        </row>
        <row r="319">
          <cell r="G319">
            <v>74496.25</v>
          </cell>
        </row>
        <row r="320">
          <cell r="G320">
            <v>111701.25</v>
          </cell>
        </row>
        <row r="321">
          <cell r="G321">
            <v>106625</v>
          </cell>
        </row>
        <row r="322">
          <cell r="G322">
            <v>154167.5</v>
          </cell>
        </row>
        <row r="323">
          <cell r="G323">
            <v>261145</v>
          </cell>
        </row>
        <row r="326">
          <cell r="G326">
            <v>156365</v>
          </cell>
        </row>
        <row r="327">
          <cell r="G327">
            <v>202372.5</v>
          </cell>
        </row>
        <row r="328">
          <cell r="G328">
            <v>143761.25</v>
          </cell>
        </row>
        <row r="329">
          <cell r="G329">
            <v>202878.75</v>
          </cell>
        </row>
        <row r="330">
          <cell r="G330">
            <v>164903.75</v>
          </cell>
        </row>
        <row r="331">
          <cell r="G331">
            <v>2002.5</v>
          </cell>
        </row>
        <row r="339">
          <cell r="G339">
            <v>1198.75</v>
          </cell>
        </row>
        <row r="340">
          <cell r="G340">
            <v>1065</v>
          </cell>
        </row>
        <row r="353">
          <cell r="G353">
            <v>6073.75</v>
          </cell>
        </row>
        <row r="354">
          <cell r="G354">
            <v>1406.25</v>
          </cell>
        </row>
        <row r="355">
          <cell r="G355">
            <v>623.75</v>
          </cell>
        </row>
        <row r="356">
          <cell r="G356">
            <v>383.75</v>
          </cell>
        </row>
        <row r="357">
          <cell r="G357">
            <v>1148.75</v>
          </cell>
        </row>
        <row r="358">
          <cell r="G358">
            <v>44703.75</v>
          </cell>
        </row>
        <row r="359">
          <cell r="G359">
            <v>1848.75</v>
          </cell>
        </row>
        <row r="360">
          <cell r="G360">
            <v>981.25</v>
          </cell>
        </row>
        <row r="361">
          <cell r="G361">
            <v>1422.5</v>
          </cell>
        </row>
        <row r="362">
          <cell r="G362">
            <v>1973.75</v>
          </cell>
        </row>
        <row r="363">
          <cell r="G363">
            <v>4220</v>
          </cell>
        </row>
        <row r="364">
          <cell r="G364">
            <v>6021.25</v>
          </cell>
        </row>
        <row r="365">
          <cell r="G365">
            <v>9031.25</v>
          </cell>
        </row>
        <row r="367">
          <cell r="C367" t="str">
            <v>GY BANDEJA RANURADA BPCG 100X50X1.2 TIRA 3 MTS GALV</v>
          </cell>
          <cell r="G367">
            <v>28393.75</v>
          </cell>
        </row>
        <row r="368">
          <cell r="C368" t="str">
            <v>GY BANDEJA RANURADA BPCG 200X100X1.2 TIRA 3 MTS GALV</v>
          </cell>
          <cell r="G368">
            <v>52950</v>
          </cell>
        </row>
        <row r="369">
          <cell r="C369" t="str">
            <v>GY CURVA RANURADA BPCG HORIZONTAL CH90 100X50X1.2 R200 GALV</v>
          </cell>
          <cell r="G369">
            <v>9573.75</v>
          </cell>
        </row>
        <row r="370">
          <cell r="C370" t="str">
            <v>GY CURVA RANURADA BPCG VERT INT CVI90 100X501.2 R200 GALV</v>
          </cell>
          <cell r="G370">
            <v>8437.5</v>
          </cell>
        </row>
        <row r="371">
          <cell r="C371" t="str">
            <v>GY CURVA RANURADA BPCG CT 200X100X1.2 R200 GALV</v>
          </cell>
          <cell r="G371">
            <v>22356.25</v>
          </cell>
        </row>
        <row r="372">
          <cell r="C372" t="str">
            <v>GY CURVA RANURADA BPCG HORIZONTAL CH90 200X100X1.2 R200 GALV</v>
          </cell>
          <cell r="G372">
            <v>16435</v>
          </cell>
        </row>
        <row r="373">
          <cell r="C373" t="str">
            <v>GY CURVA RANURADA BPCG VERT EXT CVE90 100X50X1.2 R200 GALV</v>
          </cell>
          <cell r="G373">
            <v>8437.5</v>
          </cell>
        </row>
        <row r="374">
          <cell r="C374" t="str">
            <v>GY CURVA RANURADA BPCG VERT EXT CVE90 200X100X1.2 R200 GALV</v>
          </cell>
          <cell r="G374">
            <v>15527.5</v>
          </cell>
        </row>
        <row r="375">
          <cell r="C375" t="str">
            <v>GY CURVA RANURADA BPCG VERT INT CVI90 200X100X1.2 R200 GALV</v>
          </cell>
          <cell r="G375">
            <v>14685</v>
          </cell>
        </row>
        <row r="376">
          <cell r="C376" t="str">
            <v>GY CURVA RANURADA BPCG CT 100X50X1.2 R200 GALV</v>
          </cell>
          <cell r="G376">
            <v>21652.5</v>
          </cell>
        </row>
        <row r="377">
          <cell r="C377" t="str">
            <v>GY ESCALERILLA EPCG 300X100X2.0 TIRA 3 MTS GALV</v>
          </cell>
          <cell r="G377">
            <v>71065</v>
          </cell>
        </row>
        <row r="378">
          <cell r="C378" t="str">
            <v>GY TAPA BPCG EPCG 200X15X1.2 TIRA 3MTS GALV</v>
          </cell>
          <cell r="G378">
            <v>28653.75</v>
          </cell>
        </row>
        <row r="379">
          <cell r="C379" t="str">
            <v>GY TAPA BPCG EPCG 300X15X1.2 TIRA 3 MTS GALV</v>
          </cell>
          <cell r="G379">
            <v>42261.25</v>
          </cell>
        </row>
        <row r="380">
          <cell r="C380" t="str">
            <v>GY ESCALERILLA EPCG 200X100X2.0 TIRA 3 MTS GALV</v>
          </cell>
          <cell r="G380">
            <v>68112.5</v>
          </cell>
        </row>
        <row r="381">
          <cell r="C381" t="str">
            <v>GY TAPA BPCG EPCG 100X15X1.2 TIRA 3 MTS GALV</v>
          </cell>
          <cell r="G381">
            <v>23660</v>
          </cell>
        </row>
        <row r="382">
          <cell r="C382" t="str">
            <v>TUBO CONDUIT PVC 40MM 3 MTS</v>
          </cell>
          <cell r="G382">
            <v>2453.75</v>
          </cell>
        </row>
        <row r="383">
          <cell r="C383" t="str">
            <v>CURVA 90° CONDUIT PVC 40MM</v>
          </cell>
          <cell r="G383">
            <v>517.5</v>
          </cell>
        </row>
        <row r="384">
          <cell r="C384" t="str">
            <v>TUBO CONDUIT PVC 50MM 3 MTS</v>
          </cell>
          <cell r="G384">
            <v>3588.75</v>
          </cell>
        </row>
        <row r="385">
          <cell r="C385" t="str">
            <v>CURVA 90° CONDUIT PVC 50MM</v>
          </cell>
          <cell r="G385">
            <v>1076.25</v>
          </cell>
        </row>
        <row r="386">
          <cell r="C386" t="str">
            <v>TERMINAL COMPLETO CONDUIT PVC 50MM</v>
          </cell>
          <cell r="G386">
            <v>917.5</v>
          </cell>
        </row>
        <row r="387">
          <cell r="C387" t="str">
            <v>SALIDA DE CAJA CONDUIT PVC 50MM</v>
          </cell>
          <cell r="G387">
            <v>455</v>
          </cell>
        </row>
        <row r="392">
          <cell r="C392" t="str">
            <v>ABRAZADERA METALICA OMEGA 40MM TSP-40</v>
          </cell>
          <cell r="G392">
            <v>63.75</v>
          </cell>
        </row>
        <row r="393">
          <cell r="C393" t="str">
            <v>ABRAZADERA METALICA OMEGA 50MM TSP-50</v>
          </cell>
          <cell r="G393">
            <v>96.25</v>
          </cell>
        </row>
        <row r="394">
          <cell r="C394" t="str">
            <v>LX CAJA ESTANCA 85X85X50 IP55 7 SALIDAS</v>
          </cell>
          <cell r="G394">
            <v>1232.5</v>
          </cell>
        </row>
        <row r="395">
          <cell r="C395" t="str">
            <v>LX CAJA ESTANCA 100X100X70 IP55 7 SALIDAS</v>
          </cell>
          <cell r="G395">
            <v>2075</v>
          </cell>
        </row>
        <row r="398">
          <cell r="G398">
            <v>36403.75</v>
          </cell>
        </row>
        <row r="399">
          <cell r="G399">
            <v>16260</v>
          </cell>
        </row>
        <row r="400">
          <cell r="G400">
            <v>20707.5</v>
          </cell>
        </row>
        <row r="401">
          <cell r="G401">
            <v>15217.5</v>
          </cell>
        </row>
        <row r="402">
          <cell r="G402">
            <v>24407.5</v>
          </cell>
        </row>
        <row r="403">
          <cell r="G403">
            <v>30453.75</v>
          </cell>
        </row>
        <row r="404">
          <cell r="G404">
            <v>1798.75</v>
          </cell>
        </row>
        <row r="405">
          <cell r="G405">
            <v>3396.25</v>
          </cell>
        </row>
        <row r="406">
          <cell r="G406">
            <v>3856.25</v>
          </cell>
        </row>
        <row r="407">
          <cell r="G407">
            <v>5976.25</v>
          </cell>
        </row>
        <row r="408">
          <cell r="G408">
            <v>9268.75</v>
          </cell>
        </row>
        <row r="409">
          <cell r="G409">
            <v>20846.25</v>
          </cell>
        </row>
        <row r="410">
          <cell r="G410">
            <v>4603.75</v>
          </cell>
        </row>
        <row r="411">
          <cell r="G411">
            <v>5583.75</v>
          </cell>
        </row>
        <row r="416">
          <cell r="G416">
            <v>5595</v>
          </cell>
        </row>
        <row r="417">
          <cell r="G417">
            <v>7503.75</v>
          </cell>
        </row>
        <row r="418">
          <cell r="G418">
            <v>11543.75</v>
          </cell>
        </row>
        <row r="419">
          <cell r="G419">
            <v>2297.5</v>
          </cell>
        </row>
        <row r="420">
          <cell r="G420">
            <v>4876.25</v>
          </cell>
        </row>
        <row r="421">
          <cell r="G421">
            <v>5936.25</v>
          </cell>
        </row>
        <row r="422">
          <cell r="G422">
            <v>10825</v>
          </cell>
        </row>
        <row r="423">
          <cell r="G423">
            <v>3357.5</v>
          </cell>
        </row>
        <row r="424">
          <cell r="G424">
            <v>3251.25</v>
          </cell>
        </row>
        <row r="425">
          <cell r="G425">
            <v>13403.75</v>
          </cell>
        </row>
        <row r="426">
          <cell r="G426">
            <v>836.25</v>
          </cell>
        </row>
        <row r="427">
          <cell r="G427">
            <v>3696.25</v>
          </cell>
        </row>
        <row r="428">
          <cell r="G428">
            <v>2102.5</v>
          </cell>
        </row>
        <row r="429">
          <cell r="G429">
            <v>5288.75</v>
          </cell>
        </row>
        <row r="430">
          <cell r="G430">
            <v>5288.75</v>
          </cell>
        </row>
        <row r="431">
          <cell r="G431">
            <v>5925</v>
          </cell>
        </row>
        <row r="434">
          <cell r="G434">
            <v>761.25</v>
          </cell>
        </row>
        <row r="435">
          <cell r="G435">
            <v>108553.75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90E3-214B-4EDC-BF06-EF5741C36721}">
  <sheetPr codeName="Hoja2"/>
  <dimension ref="A1:L2334"/>
  <sheetViews>
    <sheetView tabSelected="1" topLeftCell="A563" zoomScale="55" zoomScaleNormal="55" workbookViewId="0">
      <selection activeCell="D609" sqref="D609"/>
    </sheetView>
  </sheetViews>
  <sheetFormatPr baseColWidth="10" defaultRowHeight="15" x14ac:dyDescent="0.25"/>
  <cols>
    <col min="1" max="1" width="11.42578125" customWidth="1"/>
    <col min="2" max="2" width="26.85546875" style="2" bestFit="1" customWidth="1"/>
    <col min="3" max="3" width="74.42578125" bestFit="1" customWidth="1"/>
    <col min="4" max="4" width="20.7109375" style="1" bestFit="1" customWidth="1"/>
    <col min="5" max="5" width="10.85546875" customWidth="1"/>
    <col min="6" max="6" width="26.42578125" customWidth="1"/>
    <col min="7" max="8" width="17.85546875" bestFit="1" customWidth="1"/>
    <col min="12" max="12" width="13.140625" bestFit="1" customWidth="1"/>
    <col min="15" max="15" width="12.5703125" customWidth="1"/>
  </cols>
  <sheetData>
    <row r="1" spans="1:8" ht="15.75" thickBot="1" x14ac:dyDescent="0.3">
      <c r="B1"/>
    </row>
    <row r="2" spans="1:8" ht="15.75" thickBot="1" x14ac:dyDescent="0.3">
      <c r="B2"/>
      <c r="H2" s="100" t="s">
        <v>195</v>
      </c>
    </row>
    <row r="3" spans="1:8" ht="15.75" thickBot="1" x14ac:dyDescent="0.3">
      <c r="B3"/>
      <c r="H3" s="99">
        <v>45778</v>
      </c>
    </row>
    <row r="4" spans="1:8" ht="6" customHeight="1" thickBot="1" x14ac:dyDescent="0.3">
      <c r="B4"/>
    </row>
    <row r="5" spans="1:8" ht="38.25" customHeight="1" thickBot="1" x14ac:dyDescent="0.4">
      <c r="A5" s="7"/>
      <c r="B5" s="98" t="s">
        <v>194</v>
      </c>
      <c r="C5" s="97"/>
      <c r="D5" s="96"/>
      <c r="E5" s="7"/>
      <c r="F5" s="7"/>
      <c r="G5" s="7"/>
      <c r="H5" s="7"/>
    </row>
    <row r="6" spans="1:8" ht="15.75" thickBot="1" x14ac:dyDescent="0.3">
      <c r="A6" s="20"/>
      <c r="B6" s="20"/>
      <c r="C6" s="95"/>
      <c r="D6" s="94"/>
      <c r="E6" s="7"/>
      <c r="F6" s="7"/>
      <c r="G6" s="7"/>
      <c r="H6" s="7"/>
    </row>
    <row r="7" spans="1:8" ht="21.75" thickBot="1" x14ac:dyDescent="0.4">
      <c r="A7" s="20"/>
      <c r="B7" s="93"/>
      <c r="C7" s="92" t="s">
        <v>193</v>
      </c>
      <c r="D7" s="91" t="s">
        <v>192</v>
      </c>
      <c r="E7" s="90" t="s">
        <v>191</v>
      </c>
      <c r="F7" s="90" t="s">
        <v>190</v>
      </c>
      <c r="G7" s="90" t="s">
        <v>189</v>
      </c>
      <c r="H7" s="89" t="s">
        <v>188</v>
      </c>
    </row>
    <row r="8" spans="1:8" x14ac:dyDescent="0.25">
      <c r="A8" s="20"/>
      <c r="B8" s="73" t="s">
        <v>187</v>
      </c>
      <c r="C8" s="63" t="s">
        <v>216</v>
      </c>
      <c r="D8" s="76"/>
      <c r="E8" s="76" t="s">
        <v>138</v>
      </c>
      <c r="F8" s="34">
        <f>'[1]Valores ESTEC'!G68</f>
        <v>2813.75</v>
      </c>
      <c r="G8" s="33">
        <f>(F8*D8)</f>
        <v>0</v>
      </c>
      <c r="H8" s="32"/>
    </row>
    <row r="9" spans="1:8" x14ac:dyDescent="0.25">
      <c r="A9" s="7"/>
      <c r="B9" s="52"/>
      <c r="C9" s="53" t="s">
        <v>217</v>
      </c>
      <c r="D9" s="68"/>
      <c r="E9" s="68" t="s">
        <v>0</v>
      </c>
      <c r="F9" s="29">
        <f>'[1]Valores ESTEC'!G64</f>
        <v>258.75</v>
      </c>
      <c r="G9" s="28">
        <f>(F9*D9)</f>
        <v>0</v>
      </c>
      <c r="H9" s="27"/>
    </row>
    <row r="10" spans="1:8" x14ac:dyDescent="0.25">
      <c r="A10" s="7"/>
      <c r="B10" s="52"/>
      <c r="C10" s="51" t="s">
        <v>185</v>
      </c>
      <c r="D10" s="66"/>
      <c r="E10" s="66" t="s">
        <v>0</v>
      </c>
      <c r="F10" s="23">
        <f>'[1]Valores ESTEC'!G67</f>
        <v>388.75</v>
      </c>
      <c r="G10" s="22">
        <f>F10*D10</f>
        <v>0</v>
      </c>
      <c r="H10" s="42"/>
    </row>
    <row r="11" spans="1:8" x14ac:dyDescent="0.25">
      <c r="A11" s="20"/>
      <c r="B11" s="52"/>
      <c r="C11" s="53" t="s">
        <v>180</v>
      </c>
      <c r="D11" s="68"/>
      <c r="E11" s="68" t="s">
        <v>0</v>
      </c>
      <c r="F11" s="29">
        <f>'[1]Valores ESTEC'!G65</f>
        <v>412.5</v>
      </c>
      <c r="G11" s="28">
        <f>F11*D11</f>
        <v>0</v>
      </c>
      <c r="H11" s="27"/>
    </row>
    <row r="12" spans="1:8" x14ac:dyDescent="0.25">
      <c r="A12" s="20"/>
      <c r="B12" s="52"/>
      <c r="C12" s="51" t="s">
        <v>175</v>
      </c>
      <c r="D12" s="66"/>
      <c r="E12" s="66" t="s">
        <v>0</v>
      </c>
      <c r="F12" s="23">
        <f>'[1]Valores ESTEC'!G66</f>
        <v>512.5</v>
      </c>
      <c r="G12" s="22">
        <f t="shared" ref="G12:G75" si="0">F12*D12</f>
        <v>0</v>
      </c>
      <c r="H12" s="42"/>
    </row>
    <row r="13" spans="1:8" x14ac:dyDescent="0.25">
      <c r="A13" s="20"/>
      <c r="B13" s="52"/>
      <c r="C13" s="53" t="s">
        <v>218</v>
      </c>
      <c r="D13" s="68"/>
      <c r="E13" s="68" t="s">
        <v>138</v>
      </c>
      <c r="F13" s="29">
        <f>'[1]Valores ESTEC'!G73</f>
        <v>3598.75</v>
      </c>
      <c r="G13" s="28">
        <f t="shared" si="0"/>
        <v>0</v>
      </c>
      <c r="H13" s="27"/>
    </row>
    <row r="14" spans="1:8" x14ac:dyDescent="0.25">
      <c r="A14" s="20"/>
      <c r="B14" s="52"/>
      <c r="C14" s="51" t="s">
        <v>199</v>
      </c>
      <c r="D14" s="66"/>
      <c r="E14" s="66" t="s">
        <v>0</v>
      </c>
      <c r="F14" s="23">
        <f>'[1]Valores ESTEC'!G69</f>
        <v>335</v>
      </c>
      <c r="G14" s="22">
        <f t="shared" si="0"/>
        <v>0</v>
      </c>
      <c r="H14" s="42"/>
    </row>
    <row r="15" spans="1:8" x14ac:dyDescent="0.25">
      <c r="A15" s="20"/>
      <c r="B15" s="52"/>
      <c r="C15" s="53" t="s">
        <v>430</v>
      </c>
      <c r="D15" s="68"/>
      <c r="E15" s="68" t="s">
        <v>0</v>
      </c>
      <c r="F15" s="29">
        <f>'[1]Valores ESTEC'!G72</f>
        <v>436.25</v>
      </c>
      <c r="G15" s="28">
        <f t="shared" si="0"/>
        <v>0</v>
      </c>
      <c r="H15" s="27"/>
    </row>
    <row r="16" spans="1:8" x14ac:dyDescent="0.25">
      <c r="A16" s="20"/>
      <c r="B16" s="52"/>
      <c r="C16" s="51" t="s">
        <v>431</v>
      </c>
      <c r="D16" s="66"/>
      <c r="E16" s="66" t="s">
        <v>0</v>
      </c>
      <c r="F16" s="23">
        <f>'[1]Valores ESTEC'!G70</f>
        <v>471.25</v>
      </c>
      <c r="G16" s="22">
        <f t="shared" si="0"/>
        <v>0</v>
      </c>
      <c r="H16" s="42"/>
    </row>
    <row r="17" spans="1:8" x14ac:dyDescent="0.25">
      <c r="A17" s="20"/>
      <c r="B17" s="52"/>
      <c r="C17" s="53" t="s">
        <v>432</v>
      </c>
      <c r="D17" s="68"/>
      <c r="E17" s="68" t="s">
        <v>0</v>
      </c>
      <c r="F17" s="29">
        <f>'[1]Valores ESTEC'!G71</f>
        <v>777.5</v>
      </c>
      <c r="G17" s="28">
        <f t="shared" si="0"/>
        <v>0</v>
      </c>
      <c r="H17" s="27"/>
    </row>
    <row r="18" spans="1:8" x14ac:dyDescent="0.25">
      <c r="A18" s="20"/>
      <c r="B18" s="52"/>
      <c r="C18" s="51" t="s">
        <v>147</v>
      </c>
      <c r="D18" s="66"/>
      <c r="E18" s="66" t="s">
        <v>138</v>
      </c>
      <c r="F18" s="23">
        <f>'[1]Valores ESTEC'!G353</f>
        <v>6073.75</v>
      </c>
      <c r="G18" s="22">
        <f t="shared" si="0"/>
        <v>0</v>
      </c>
      <c r="H18" s="42"/>
    </row>
    <row r="19" spans="1:8" x14ac:dyDescent="0.25">
      <c r="A19" s="20"/>
      <c r="B19" s="52"/>
      <c r="C19" s="53" t="s">
        <v>143</v>
      </c>
      <c r="D19" s="68"/>
      <c r="E19" s="68" t="s">
        <v>0</v>
      </c>
      <c r="F19" s="29">
        <f>'[1]Valores ESTEC'!G356</f>
        <v>383.75</v>
      </c>
      <c r="G19" s="28">
        <f t="shared" si="0"/>
        <v>0</v>
      </c>
      <c r="H19" s="27"/>
    </row>
    <row r="20" spans="1:8" x14ac:dyDescent="0.25">
      <c r="A20" s="20"/>
      <c r="B20" s="52"/>
      <c r="C20" s="51" t="s">
        <v>139</v>
      </c>
      <c r="D20" s="66"/>
      <c r="E20" s="66" t="s">
        <v>0</v>
      </c>
      <c r="F20" s="23">
        <f>'[1]Valores ESTEC'!G357</f>
        <v>1148.75</v>
      </c>
      <c r="G20" s="22">
        <f t="shared" si="0"/>
        <v>0</v>
      </c>
      <c r="H20" s="42"/>
    </row>
    <row r="21" spans="1:8" x14ac:dyDescent="0.25">
      <c r="A21" s="20"/>
      <c r="B21" s="52"/>
      <c r="C21" s="53" t="s">
        <v>82</v>
      </c>
      <c r="D21" s="68"/>
      <c r="E21" s="68" t="s">
        <v>0</v>
      </c>
      <c r="F21" s="29">
        <f>'[1]Valores ESTEC'!G355</f>
        <v>623.75</v>
      </c>
      <c r="G21" s="28">
        <f t="shared" si="0"/>
        <v>0</v>
      </c>
      <c r="H21" s="27"/>
    </row>
    <row r="22" spans="1:8" x14ac:dyDescent="0.25">
      <c r="A22" s="20"/>
      <c r="B22" s="52"/>
      <c r="C22" s="51" t="s">
        <v>200</v>
      </c>
      <c r="D22" s="66"/>
      <c r="E22" s="66" t="s">
        <v>0</v>
      </c>
      <c r="F22" s="23">
        <f>'[1]Valores ESTEC'!G354</f>
        <v>1406.25</v>
      </c>
      <c r="G22" s="22">
        <f t="shared" si="0"/>
        <v>0</v>
      </c>
      <c r="H22" s="42"/>
    </row>
    <row r="23" spans="1:8" x14ac:dyDescent="0.25">
      <c r="A23" s="20"/>
      <c r="B23" s="52"/>
      <c r="C23" s="53" t="s">
        <v>170</v>
      </c>
      <c r="D23" s="68"/>
      <c r="E23" s="68" t="s">
        <v>0</v>
      </c>
      <c r="F23" s="29">
        <f>'[1]Valores ESTEC'!G360</f>
        <v>981.25</v>
      </c>
      <c r="G23" s="28">
        <f t="shared" si="0"/>
        <v>0</v>
      </c>
      <c r="H23" s="27"/>
    </row>
    <row r="24" spans="1:8" x14ac:dyDescent="0.25">
      <c r="A24" s="20"/>
      <c r="B24" s="52"/>
      <c r="C24" s="51" t="s">
        <v>171</v>
      </c>
      <c r="D24" s="66"/>
      <c r="E24" s="66" t="s">
        <v>0</v>
      </c>
      <c r="F24" s="23">
        <f>'[1]Valores ESTEC'!G361</f>
        <v>1422.5</v>
      </c>
      <c r="G24" s="22">
        <f t="shared" si="0"/>
        <v>0</v>
      </c>
      <c r="H24" s="42"/>
    </row>
    <row r="25" spans="1:8" x14ac:dyDescent="0.25">
      <c r="A25" s="20"/>
      <c r="B25" s="52"/>
      <c r="C25" s="53" t="s">
        <v>183</v>
      </c>
      <c r="D25" s="68"/>
      <c r="E25" s="68" t="s">
        <v>138</v>
      </c>
      <c r="F25" s="29">
        <f>'[1]Valores ESTEC'!G362</f>
        <v>1973.75</v>
      </c>
      <c r="G25" s="28">
        <f t="shared" si="0"/>
        <v>0</v>
      </c>
      <c r="H25" s="27"/>
    </row>
    <row r="26" spans="1:8" x14ac:dyDescent="0.25">
      <c r="A26" s="20"/>
      <c r="B26" s="52"/>
      <c r="C26" s="51" t="s">
        <v>178</v>
      </c>
      <c r="D26" s="66"/>
      <c r="E26" s="68" t="s">
        <v>138</v>
      </c>
      <c r="F26" s="23">
        <f>'[1]Valores ESTEC'!G76</f>
        <v>23597.5</v>
      </c>
      <c r="G26" s="22">
        <f t="shared" si="0"/>
        <v>0</v>
      </c>
      <c r="H26" s="42"/>
    </row>
    <row r="27" spans="1:8" x14ac:dyDescent="0.25">
      <c r="A27" s="20"/>
      <c r="B27" s="52"/>
      <c r="C27" s="53" t="s">
        <v>173</v>
      </c>
      <c r="D27" s="68"/>
      <c r="E27" s="68" t="s">
        <v>138</v>
      </c>
      <c r="F27" s="29">
        <f>'[1]Valores ESTEC'!G77</f>
        <v>907.5</v>
      </c>
      <c r="G27" s="28">
        <f t="shared" si="0"/>
        <v>0</v>
      </c>
      <c r="H27" s="27"/>
    </row>
    <row r="28" spans="1:8" x14ac:dyDescent="0.25">
      <c r="A28" s="20"/>
      <c r="B28" s="52"/>
      <c r="C28" s="51" t="s">
        <v>219</v>
      </c>
      <c r="D28" s="66"/>
      <c r="E28" s="66" t="s">
        <v>59</v>
      </c>
      <c r="F28" s="23">
        <f>'[1]Valores ESTEC'!G339</f>
        <v>1198.75</v>
      </c>
      <c r="G28" s="22">
        <f t="shared" si="0"/>
        <v>0</v>
      </c>
      <c r="H28" s="42"/>
    </row>
    <row r="29" spans="1:8" x14ac:dyDescent="0.25">
      <c r="A29" s="20"/>
      <c r="B29" s="52"/>
      <c r="C29" s="53" t="s">
        <v>220</v>
      </c>
      <c r="D29" s="68"/>
      <c r="E29" s="68" t="s">
        <v>59</v>
      </c>
      <c r="F29" s="29">
        <f>'[1]Valores ESTEC'!G78</f>
        <v>28036.25</v>
      </c>
      <c r="G29" s="28">
        <f t="shared" si="0"/>
        <v>0</v>
      </c>
      <c r="H29" s="27"/>
    </row>
    <row r="30" spans="1:8" x14ac:dyDescent="0.25">
      <c r="A30" s="20"/>
      <c r="B30" s="52"/>
      <c r="C30" s="51" t="s">
        <v>182</v>
      </c>
      <c r="D30" s="66"/>
      <c r="E30" s="66" t="s">
        <v>0</v>
      </c>
      <c r="F30" s="23">
        <v>903</v>
      </c>
      <c r="G30" s="22">
        <f t="shared" si="0"/>
        <v>0</v>
      </c>
      <c r="H30" s="42"/>
    </row>
    <row r="31" spans="1:8" x14ac:dyDescent="0.25">
      <c r="A31" s="20"/>
      <c r="B31" s="52"/>
      <c r="C31" s="53" t="s">
        <v>221</v>
      </c>
      <c r="D31" s="68"/>
      <c r="E31" s="68" t="s">
        <v>0</v>
      </c>
      <c r="F31" s="29">
        <f>'[1]Valores ESTEC'!G340</f>
        <v>1065</v>
      </c>
      <c r="G31" s="28">
        <f t="shared" si="0"/>
        <v>0</v>
      </c>
      <c r="H31" s="27"/>
    </row>
    <row r="32" spans="1:8" x14ac:dyDescent="0.25">
      <c r="A32" s="20"/>
      <c r="B32" s="52"/>
      <c r="C32" s="51" t="s">
        <v>148</v>
      </c>
      <c r="D32" s="66"/>
      <c r="E32" s="66" t="s">
        <v>0</v>
      </c>
      <c r="F32" s="23">
        <f>'[1]Valores ESTEC'!G358</f>
        <v>44703.75</v>
      </c>
      <c r="G32" s="22">
        <f t="shared" si="0"/>
        <v>0</v>
      </c>
      <c r="H32" s="42"/>
    </row>
    <row r="33" spans="1:8" x14ac:dyDescent="0.25">
      <c r="A33" s="20"/>
      <c r="B33" s="52"/>
      <c r="C33" s="53" t="s">
        <v>222</v>
      </c>
      <c r="D33" s="68"/>
      <c r="E33" s="68" t="s">
        <v>0</v>
      </c>
      <c r="F33" s="29">
        <f>'[1]Valores ESTEC'!G359</f>
        <v>1848.75</v>
      </c>
      <c r="G33" s="28">
        <f t="shared" si="0"/>
        <v>0</v>
      </c>
      <c r="H33" s="27"/>
    </row>
    <row r="34" spans="1:8" x14ac:dyDescent="0.25">
      <c r="A34" s="20"/>
      <c r="B34" s="52"/>
      <c r="C34" s="51" t="s">
        <v>223</v>
      </c>
      <c r="D34" s="66"/>
      <c r="E34" s="66" t="s">
        <v>0</v>
      </c>
      <c r="F34" s="23">
        <v>20</v>
      </c>
      <c r="G34" s="22">
        <f t="shared" si="0"/>
        <v>0</v>
      </c>
      <c r="H34" s="42"/>
    </row>
    <row r="35" spans="1:8" x14ac:dyDescent="0.25">
      <c r="A35" s="20"/>
      <c r="B35" s="52"/>
      <c r="C35" s="53" t="s">
        <v>224</v>
      </c>
      <c r="D35" s="68"/>
      <c r="E35" s="68" t="s">
        <v>0</v>
      </c>
      <c r="F35" s="29">
        <f>'[1]Valores ESTEC'!G74</f>
        <v>1457.5</v>
      </c>
      <c r="G35" s="28">
        <f t="shared" si="0"/>
        <v>0</v>
      </c>
      <c r="H35" s="27"/>
    </row>
    <row r="36" spans="1:8" x14ac:dyDescent="0.25">
      <c r="A36" s="20"/>
      <c r="B36" s="52"/>
      <c r="C36" s="51" t="s">
        <v>177</v>
      </c>
      <c r="D36" s="66"/>
      <c r="E36" s="66" t="s">
        <v>0</v>
      </c>
      <c r="F36" s="23">
        <f>'[1]Valores ESTEC'!G75</f>
        <v>1766.25</v>
      </c>
      <c r="G36" s="22">
        <f t="shared" si="0"/>
        <v>0</v>
      </c>
      <c r="H36" s="42"/>
    </row>
    <row r="37" spans="1:8" x14ac:dyDescent="0.25">
      <c r="A37" s="20"/>
      <c r="B37" s="52"/>
      <c r="C37" s="53" t="s">
        <v>172</v>
      </c>
      <c r="D37" s="68"/>
      <c r="E37" s="68" t="s">
        <v>0</v>
      </c>
      <c r="F37" s="29">
        <f>'[1]Valores ESTEC'!G363</f>
        <v>4220</v>
      </c>
      <c r="G37" s="28">
        <f t="shared" si="0"/>
        <v>0</v>
      </c>
      <c r="H37" s="27"/>
    </row>
    <row r="38" spans="1:8" x14ac:dyDescent="0.25">
      <c r="A38" s="20"/>
      <c r="B38" s="52"/>
      <c r="C38" s="51" t="s">
        <v>201</v>
      </c>
      <c r="D38" s="66"/>
      <c r="E38" s="66" t="s">
        <v>0</v>
      </c>
      <c r="F38" s="23">
        <f>'[1]Valores ESTEC'!G364</f>
        <v>6021.25</v>
      </c>
      <c r="G38" s="22">
        <f t="shared" si="0"/>
        <v>0</v>
      </c>
      <c r="H38" s="42"/>
    </row>
    <row r="39" spans="1:8" x14ac:dyDescent="0.25">
      <c r="A39" s="20"/>
      <c r="B39" s="52"/>
      <c r="C39" s="53" t="s">
        <v>196</v>
      </c>
      <c r="D39" s="68"/>
      <c r="E39" s="68" t="s">
        <v>0</v>
      </c>
      <c r="F39" s="29">
        <f>'[1]Valores ESTEC'!G365</f>
        <v>9031.25</v>
      </c>
      <c r="G39" s="28">
        <f t="shared" si="0"/>
        <v>0</v>
      </c>
      <c r="H39" s="27"/>
    </row>
    <row r="40" spans="1:8" x14ac:dyDescent="0.25">
      <c r="A40" s="20"/>
      <c r="B40" s="52"/>
      <c r="C40" s="51" t="s">
        <v>225</v>
      </c>
      <c r="D40" s="66"/>
      <c r="E40" s="66" t="s">
        <v>0</v>
      </c>
      <c r="F40" s="23">
        <f>'[1]Valores ESTEC'!G360</f>
        <v>981.25</v>
      </c>
      <c r="G40" s="22">
        <f t="shared" si="0"/>
        <v>0</v>
      </c>
      <c r="H40" s="42"/>
    </row>
    <row r="41" spans="1:8" x14ac:dyDescent="0.25">
      <c r="A41" s="20"/>
      <c r="B41" s="52"/>
      <c r="C41" s="53" t="s">
        <v>226</v>
      </c>
      <c r="D41" s="68"/>
      <c r="E41" s="68" t="s">
        <v>0</v>
      </c>
      <c r="F41" s="29"/>
      <c r="G41" s="28">
        <f t="shared" si="0"/>
        <v>0</v>
      </c>
      <c r="H41" s="27"/>
    </row>
    <row r="42" spans="1:8" x14ac:dyDescent="0.25">
      <c r="A42" s="20"/>
      <c r="B42" s="52"/>
      <c r="C42" s="51" t="s">
        <v>227</v>
      </c>
      <c r="D42" s="66"/>
      <c r="E42" s="66" t="s">
        <v>0</v>
      </c>
      <c r="F42" s="23"/>
      <c r="G42" s="22">
        <f t="shared" si="0"/>
        <v>0</v>
      </c>
      <c r="H42" s="42"/>
    </row>
    <row r="43" spans="1:8" x14ac:dyDescent="0.25">
      <c r="A43" s="20"/>
      <c r="B43" s="52"/>
      <c r="C43" s="53" t="s">
        <v>186</v>
      </c>
      <c r="D43" s="68"/>
      <c r="E43" s="68" t="s">
        <v>0</v>
      </c>
      <c r="F43" s="29"/>
      <c r="G43" s="28">
        <f t="shared" si="0"/>
        <v>0</v>
      </c>
      <c r="H43" s="27"/>
    </row>
    <row r="44" spans="1:8" x14ac:dyDescent="0.25">
      <c r="A44" s="20"/>
      <c r="B44" s="52"/>
      <c r="C44" s="51" t="s">
        <v>181</v>
      </c>
      <c r="D44" s="66"/>
      <c r="E44" s="66" t="s">
        <v>0</v>
      </c>
      <c r="F44" s="23"/>
      <c r="G44" s="22">
        <f t="shared" si="0"/>
        <v>0</v>
      </c>
      <c r="H44" s="42"/>
    </row>
    <row r="45" spans="1:8" x14ac:dyDescent="0.25">
      <c r="A45" s="20"/>
      <c r="B45" s="52"/>
      <c r="C45" s="53" t="s">
        <v>176</v>
      </c>
      <c r="D45" s="68"/>
      <c r="E45" s="68" t="s">
        <v>0</v>
      </c>
      <c r="F45" s="29"/>
      <c r="G45" s="28">
        <f t="shared" si="0"/>
        <v>0</v>
      </c>
      <c r="H45" s="27"/>
    </row>
    <row r="46" spans="1:8" x14ac:dyDescent="0.25">
      <c r="A46" s="20"/>
      <c r="B46" s="52"/>
      <c r="C46" s="51" t="s">
        <v>228</v>
      </c>
      <c r="D46" s="66"/>
      <c r="E46" s="66"/>
      <c r="F46" s="23"/>
      <c r="G46" s="22">
        <f t="shared" si="0"/>
        <v>0</v>
      </c>
      <c r="H46" s="42"/>
    </row>
    <row r="47" spans="1:8" x14ac:dyDescent="0.25">
      <c r="A47" s="20"/>
      <c r="B47" s="52"/>
      <c r="C47" s="53" t="s">
        <v>229</v>
      </c>
      <c r="D47" s="68"/>
      <c r="E47" s="68"/>
      <c r="F47" s="29"/>
      <c r="G47" s="28">
        <f t="shared" si="0"/>
        <v>0</v>
      </c>
      <c r="H47" s="27"/>
    </row>
    <row r="48" spans="1:8" x14ac:dyDescent="0.25">
      <c r="A48" s="20"/>
      <c r="B48" s="52"/>
      <c r="C48" s="51" t="s">
        <v>149</v>
      </c>
      <c r="D48" s="66"/>
      <c r="E48" s="66"/>
      <c r="F48" s="23"/>
      <c r="G48" s="22">
        <f t="shared" si="0"/>
        <v>0</v>
      </c>
      <c r="H48" s="42"/>
    </row>
    <row r="49" spans="1:8" x14ac:dyDescent="0.25">
      <c r="A49" s="20"/>
      <c r="B49" s="52"/>
      <c r="C49" s="53" t="s">
        <v>230</v>
      </c>
      <c r="D49" s="68"/>
      <c r="E49" s="68"/>
      <c r="F49" s="29"/>
      <c r="G49" s="28">
        <f t="shared" si="0"/>
        <v>0</v>
      </c>
      <c r="H49" s="27"/>
    </row>
    <row r="50" spans="1:8" x14ac:dyDescent="0.25">
      <c r="A50" s="20"/>
      <c r="B50" s="52"/>
      <c r="C50" s="51" t="s">
        <v>231</v>
      </c>
      <c r="D50" s="66"/>
      <c r="E50" s="66"/>
      <c r="F50" s="23"/>
      <c r="G50" s="22">
        <f t="shared" si="0"/>
        <v>0</v>
      </c>
      <c r="H50" s="42"/>
    </row>
    <row r="51" spans="1:8" x14ac:dyDescent="0.25">
      <c r="A51" s="20"/>
      <c r="B51" s="52"/>
      <c r="C51" s="53" t="s">
        <v>203</v>
      </c>
      <c r="D51" s="68"/>
      <c r="E51" s="68"/>
      <c r="F51" s="29"/>
      <c r="G51" s="28">
        <f t="shared" si="0"/>
        <v>0</v>
      </c>
      <c r="H51" s="27"/>
    </row>
    <row r="52" spans="1:8" x14ac:dyDescent="0.25">
      <c r="A52" s="20"/>
      <c r="B52" s="52"/>
      <c r="C52" s="51" t="s">
        <v>184</v>
      </c>
      <c r="D52" s="66"/>
      <c r="E52" s="66"/>
      <c r="F52" s="23"/>
      <c r="G52" s="22">
        <f t="shared" si="0"/>
        <v>0</v>
      </c>
      <c r="H52" s="42"/>
    </row>
    <row r="53" spans="1:8" x14ac:dyDescent="0.25">
      <c r="A53" s="20"/>
      <c r="B53" s="52"/>
      <c r="C53" s="53" t="s">
        <v>232</v>
      </c>
      <c r="D53" s="68"/>
      <c r="E53" s="68"/>
      <c r="F53" s="29"/>
      <c r="G53" s="28">
        <f t="shared" ref="G53:G70" si="1">F53*D53</f>
        <v>0</v>
      </c>
      <c r="H53" s="27"/>
    </row>
    <row r="54" spans="1:8" x14ac:dyDescent="0.25">
      <c r="A54" s="20"/>
      <c r="B54" s="52"/>
      <c r="C54" s="51" t="s">
        <v>179</v>
      </c>
      <c r="D54" s="66"/>
      <c r="E54" s="66"/>
      <c r="F54" s="23"/>
      <c r="G54" s="22">
        <f t="shared" si="1"/>
        <v>0</v>
      </c>
      <c r="H54" s="42"/>
    </row>
    <row r="55" spans="1:8" x14ac:dyDescent="0.25">
      <c r="A55" s="20"/>
      <c r="B55" s="52"/>
      <c r="C55" s="53" t="s">
        <v>174</v>
      </c>
      <c r="D55" s="68"/>
      <c r="E55" s="68"/>
      <c r="F55" s="29"/>
      <c r="G55" s="28">
        <f t="shared" si="1"/>
        <v>0</v>
      </c>
      <c r="H55" s="27"/>
    </row>
    <row r="56" spans="1:8" x14ac:dyDescent="0.25">
      <c r="A56" s="20"/>
      <c r="B56" s="52"/>
      <c r="C56" s="51" t="s">
        <v>198</v>
      </c>
      <c r="D56" s="66"/>
      <c r="E56" s="66"/>
      <c r="F56" s="23"/>
      <c r="G56" s="22">
        <f t="shared" si="1"/>
        <v>0</v>
      </c>
      <c r="H56" s="42"/>
    </row>
    <row r="57" spans="1:8" x14ac:dyDescent="0.25">
      <c r="A57" s="20"/>
      <c r="B57" s="52"/>
      <c r="C57" s="53" t="s">
        <v>204</v>
      </c>
      <c r="D57" s="68"/>
      <c r="E57" s="68"/>
      <c r="F57" s="29"/>
      <c r="G57" s="28">
        <f t="shared" si="1"/>
        <v>0</v>
      </c>
      <c r="H57" s="27"/>
    </row>
    <row r="58" spans="1:8" x14ac:dyDescent="0.25">
      <c r="A58" s="20"/>
      <c r="B58" s="52"/>
      <c r="C58" s="51" t="s">
        <v>205</v>
      </c>
      <c r="D58" s="66"/>
      <c r="E58" s="66"/>
      <c r="F58" s="23"/>
      <c r="G58" s="22">
        <f t="shared" si="1"/>
        <v>0</v>
      </c>
      <c r="H58" s="42"/>
    </row>
    <row r="59" spans="1:8" x14ac:dyDescent="0.25">
      <c r="A59" s="20"/>
      <c r="B59" s="52"/>
      <c r="C59" s="53" t="s">
        <v>206</v>
      </c>
      <c r="D59" s="68"/>
      <c r="E59" s="68"/>
      <c r="F59" s="29"/>
      <c r="G59" s="28">
        <f t="shared" si="1"/>
        <v>0</v>
      </c>
      <c r="H59" s="27"/>
    </row>
    <row r="60" spans="1:8" x14ac:dyDescent="0.25">
      <c r="A60" s="20"/>
      <c r="B60" s="52"/>
      <c r="C60" s="51" t="s">
        <v>207</v>
      </c>
      <c r="D60" s="66"/>
      <c r="E60" s="66"/>
      <c r="F60" s="23"/>
      <c r="G60" s="22">
        <f t="shared" si="1"/>
        <v>0</v>
      </c>
      <c r="H60" s="42"/>
    </row>
    <row r="61" spans="1:8" x14ac:dyDescent="0.25">
      <c r="A61" s="20"/>
      <c r="B61" s="52"/>
      <c r="C61" s="53" t="s">
        <v>208</v>
      </c>
      <c r="D61" s="68"/>
      <c r="E61" s="68"/>
      <c r="F61" s="29"/>
      <c r="G61" s="28">
        <f t="shared" si="1"/>
        <v>0</v>
      </c>
      <c r="H61" s="27"/>
    </row>
    <row r="62" spans="1:8" x14ac:dyDescent="0.25">
      <c r="A62" s="20"/>
      <c r="B62" s="52"/>
      <c r="C62" s="51" t="s">
        <v>209</v>
      </c>
      <c r="D62" s="66"/>
      <c r="E62" s="66"/>
      <c r="F62" s="23"/>
      <c r="G62" s="22">
        <f t="shared" si="1"/>
        <v>0</v>
      </c>
      <c r="H62" s="42"/>
    </row>
    <row r="63" spans="1:8" x14ac:dyDescent="0.25">
      <c r="A63" s="20"/>
      <c r="B63" s="52"/>
      <c r="C63" s="53" t="s">
        <v>210</v>
      </c>
      <c r="D63" s="68"/>
      <c r="E63" s="68"/>
      <c r="F63" s="29"/>
      <c r="G63" s="28">
        <f t="shared" si="1"/>
        <v>0</v>
      </c>
      <c r="H63" s="27"/>
    </row>
    <row r="64" spans="1:8" x14ac:dyDescent="0.25">
      <c r="A64" s="20"/>
      <c r="B64" s="52"/>
      <c r="C64" s="51" t="s">
        <v>211</v>
      </c>
      <c r="D64" s="66"/>
      <c r="E64" s="66"/>
      <c r="F64" s="23"/>
      <c r="G64" s="22">
        <f t="shared" si="1"/>
        <v>0</v>
      </c>
      <c r="H64" s="42"/>
    </row>
    <row r="65" spans="1:8" x14ac:dyDescent="0.25">
      <c r="A65" s="20"/>
      <c r="B65" s="52"/>
      <c r="C65" s="53" t="s">
        <v>197</v>
      </c>
      <c r="D65" s="68"/>
      <c r="E65" s="68"/>
      <c r="F65" s="29"/>
      <c r="G65" s="28">
        <f t="shared" si="1"/>
        <v>0</v>
      </c>
      <c r="H65" s="27"/>
    </row>
    <row r="66" spans="1:8" x14ac:dyDescent="0.25">
      <c r="A66" s="20"/>
      <c r="B66" s="52"/>
      <c r="C66" s="51" t="s">
        <v>212</v>
      </c>
      <c r="D66" s="66"/>
      <c r="E66" s="66"/>
      <c r="F66" s="23"/>
      <c r="G66" s="22">
        <f t="shared" si="1"/>
        <v>0</v>
      </c>
      <c r="H66" s="42"/>
    </row>
    <row r="67" spans="1:8" x14ac:dyDescent="0.25">
      <c r="A67" s="20"/>
      <c r="B67" s="52"/>
      <c r="C67" s="53" t="s">
        <v>213</v>
      </c>
      <c r="D67" s="68"/>
      <c r="E67" s="68"/>
      <c r="F67" s="29"/>
      <c r="G67" s="28">
        <f t="shared" si="1"/>
        <v>0</v>
      </c>
      <c r="H67" s="27"/>
    </row>
    <row r="68" spans="1:8" x14ac:dyDescent="0.25">
      <c r="A68" s="20"/>
      <c r="B68" s="52"/>
      <c r="C68" s="51" t="s">
        <v>214</v>
      </c>
      <c r="D68" s="66"/>
      <c r="E68" s="66"/>
      <c r="F68" s="23"/>
      <c r="G68" s="22">
        <f t="shared" si="1"/>
        <v>0</v>
      </c>
      <c r="H68" s="42"/>
    </row>
    <row r="69" spans="1:8" x14ac:dyDescent="0.25">
      <c r="A69" s="20"/>
      <c r="B69" s="52"/>
      <c r="C69" s="53" t="s">
        <v>215</v>
      </c>
      <c r="D69" s="68"/>
      <c r="E69" s="68"/>
      <c r="F69" s="29"/>
      <c r="G69" s="28">
        <f t="shared" si="1"/>
        <v>0</v>
      </c>
      <c r="H69" s="27"/>
    </row>
    <row r="70" spans="1:8" x14ac:dyDescent="0.25">
      <c r="A70" s="20"/>
      <c r="B70" s="52"/>
      <c r="C70" s="51" t="s">
        <v>233</v>
      </c>
      <c r="D70" s="66"/>
      <c r="E70" s="66"/>
      <c r="F70" s="23"/>
      <c r="G70" s="22">
        <f t="shared" si="1"/>
        <v>0</v>
      </c>
      <c r="H70" s="42"/>
    </row>
    <row r="71" spans="1:8" x14ac:dyDescent="0.25">
      <c r="A71" s="20"/>
      <c r="B71" s="52"/>
      <c r="C71" s="51" t="s">
        <v>234</v>
      </c>
      <c r="D71" s="66"/>
      <c r="E71" s="66"/>
      <c r="F71" s="23"/>
      <c r="G71" s="22">
        <f t="shared" si="0"/>
        <v>0</v>
      </c>
      <c r="H71" s="42"/>
    </row>
    <row r="72" spans="1:8" x14ac:dyDescent="0.25">
      <c r="A72" s="20"/>
      <c r="B72" s="52"/>
      <c r="C72" s="53" t="s">
        <v>235</v>
      </c>
      <c r="D72" s="68"/>
      <c r="E72" s="68"/>
      <c r="F72" s="29"/>
      <c r="G72" s="28">
        <f t="shared" si="0"/>
        <v>0</v>
      </c>
      <c r="H72" s="27"/>
    </row>
    <row r="73" spans="1:8" x14ac:dyDescent="0.25">
      <c r="A73" s="20"/>
      <c r="B73" s="52"/>
      <c r="C73" s="51"/>
      <c r="D73" s="66"/>
      <c r="E73" s="66"/>
      <c r="F73" s="23"/>
      <c r="G73" s="22">
        <f t="shared" si="0"/>
        <v>0</v>
      </c>
      <c r="H73" s="42"/>
    </row>
    <row r="74" spans="1:8" x14ac:dyDescent="0.25">
      <c r="A74" s="20"/>
      <c r="B74" s="52"/>
      <c r="C74" s="53"/>
      <c r="D74" s="68"/>
      <c r="E74" s="68"/>
      <c r="F74" s="29"/>
      <c r="G74" s="28">
        <f t="shared" si="0"/>
        <v>0</v>
      </c>
      <c r="H74" s="27"/>
    </row>
    <row r="75" spans="1:8" ht="15.75" thickBot="1" x14ac:dyDescent="0.3">
      <c r="A75" s="20"/>
      <c r="B75" s="52"/>
      <c r="C75" s="51"/>
      <c r="D75" s="66"/>
      <c r="E75" s="66"/>
      <c r="F75" s="23"/>
      <c r="G75" s="22">
        <f t="shared" si="0"/>
        <v>0</v>
      </c>
      <c r="H75" s="42"/>
    </row>
    <row r="76" spans="1:8" x14ac:dyDescent="0.25">
      <c r="A76" s="20"/>
      <c r="B76" s="73" t="s">
        <v>169</v>
      </c>
      <c r="C76" s="87" t="str">
        <f>'[1]Valores ESTEC'!C367</f>
        <v>GY BANDEJA RANURADA BPCG 100X50X1.2 TIRA 3 MTS GALV</v>
      </c>
      <c r="D76" s="47"/>
      <c r="E76" s="47" t="s">
        <v>122</v>
      </c>
      <c r="F76" s="46">
        <f>'[1]Valores ESTEC'!G367</f>
        <v>28393.75</v>
      </c>
      <c r="G76" s="45">
        <f>F76*D76</f>
        <v>0</v>
      </c>
      <c r="H76" s="44"/>
    </row>
    <row r="77" spans="1:8" x14ac:dyDescent="0.25">
      <c r="A77" s="20"/>
      <c r="B77" s="52"/>
      <c r="C77" s="51" t="str">
        <f>'[1]Valores ESTEC'!C368</f>
        <v>GY BANDEJA RANURADA BPCG 200X100X1.2 TIRA 3 MTS GALV</v>
      </c>
      <c r="D77" s="66"/>
      <c r="E77" s="66" t="s">
        <v>168</v>
      </c>
      <c r="F77" s="23">
        <f>'[1]Valores ESTEC'!G368</f>
        <v>52950</v>
      </c>
      <c r="G77" s="22">
        <f>F77*D77</f>
        <v>0</v>
      </c>
      <c r="H77" s="42"/>
    </row>
    <row r="78" spans="1:8" x14ac:dyDescent="0.25">
      <c r="A78" s="20"/>
      <c r="B78" s="52"/>
      <c r="C78" s="53" t="str">
        <f>'[1]Valores ESTEC'!C369</f>
        <v>GY CURVA RANURADA BPCG HORIZONTAL CH90 100X50X1.2 R200 GALV</v>
      </c>
      <c r="D78" s="68"/>
      <c r="E78" s="68" t="s">
        <v>0</v>
      </c>
      <c r="F78" s="29">
        <f>'[1]Valores ESTEC'!G369</f>
        <v>9573.75</v>
      </c>
      <c r="G78" s="28">
        <f>F78*D78</f>
        <v>0</v>
      </c>
      <c r="H78" s="27"/>
    </row>
    <row r="79" spans="1:8" x14ac:dyDescent="0.25">
      <c r="A79" s="20"/>
      <c r="B79" s="52"/>
      <c r="C79" s="51" t="str">
        <f>'[1]Valores ESTEC'!C370</f>
        <v>GY CURVA RANURADA BPCG VERT INT CVI90 100X501.2 R200 GALV</v>
      </c>
      <c r="D79" s="66"/>
      <c r="E79" s="66" t="s">
        <v>0</v>
      </c>
      <c r="F79" s="23">
        <f>'[1]Valores ESTEC'!G370</f>
        <v>8437.5</v>
      </c>
      <c r="G79" s="22">
        <f>F79*D79</f>
        <v>0</v>
      </c>
      <c r="H79" s="42"/>
    </row>
    <row r="80" spans="1:8" x14ac:dyDescent="0.25">
      <c r="A80" s="20"/>
      <c r="B80" s="52"/>
      <c r="C80" s="53" t="str">
        <f>'[1]Valores ESTEC'!C371</f>
        <v>GY CURVA RANURADA BPCG CT 200X100X1.2 R200 GALV</v>
      </c>
      <c r="D80" s="68"/>
      <c r="E80" s="68" t="s">
        <v>0</v>
      </c>
      <c r="F80" s="29">
        <f>'[1]Valores ESTEC'!G371</f>
        <v>22356.25</v>
      </c>
      <c r="G80" s="28">
        <f t="shared" ref="G80:G140" si="2">F80*D80</f>
        <v>0</v>
      </c>
      <c r="H80" s="27"/>
    </row>
    <row r="81" spans="1:8" x14ac:dyDescent="0.25">
      <c r="A81" s="20"/>
      <c r="B81" s="52"/>
      <c r="C81" s="51" t="str">
        <f>'[1]Valores ESTEC'!C372</f>
        <v>GY CURVA RANURADA BPCG HORIZONTAL CH90 200X100X1.2 R200 GALV</v>
      </c>
      <c r="D81" s="66"/>
      <c r="E81" s="66" t="s">
        <v>0</v>
      </c>
      <c r="F81" s="23">
        <f>'[1]Valores ESTEC'!G372</f>
        <v>16435</v>
      </c>
      <c r="G81" s="22">
        <f t="shared" si="2"/>
        <v>0</v>
      </c>
      <c r="H81" s="42"/>
    </row>
    <row r="82" spans="1:8" x14ac:dyDescent="0.25">
      <c r="A82" s="20"/>
      <c r="B82" s="52"/>
      <c r="C82" s="53" t="str">
        <f>'[1]Valores ESTEC'!C373</f>
        <v>GY CURVA RANURADA BPCG VERT EXT CVE90 100X50X1.2 R200 GALV</v>
      </c>
      <c r="D82" s="68"/>
      <c r="E82" s="68" t="s">
        <v>0</v>
      </c>
      <c r="F82" s="29">
        <f>'[1]Valores ESTEC'!G373</f>
        <v>8437.5</v>
      </c>
      <c r="G82" s="28">
        <f t="shared" si="2"/>
        <v>0</v>
      </c>
      <c r="H82" s="27"/>
    </row>
    <row r="83" spans="1:8" x14ac:dyDescent="0.25">
      <c r="A83" s="20"/>
      <c r="B83" s="52"/>
      <c r="C83" s="51" t="str">
        <f>'[1]Valores ESTEC'!C374</f>
        <v>GY CURVA RANURADA BPCG VERT EXT CVE90 200X100X1.2 R200 GALV</v>
      </c>
      <c r="D83" s="66"/>
      <c r="E83" s="66" t="s">
        <v>0</v>
      </c>
      <c r="F83" s="23">
        <f>'[1]Valores ESTEC'!G374</f>
        <v>15527.5</v>
      </c>
      <c r="G83" s="22">
        <f t="shared" si="2"/>
        <v>0</v>
      </c>
      <c r="H83" s="42"/>
    </row>
    <row r="84" spans="1:8" x14ac:dyDescent="0.25">
      <c r="A84" s="20"/>
      <c r="B84" s="52"/>
      <c r="C84" s="53" t="str">
        <f>'[1]Valores ESTEC'!C375</f>
        <v>GY CURVA RANURADA BPCG VERT INT CVI90 200X100X1.2 R200 GALV</v>
      </c>
      <c r="D84" s="68"/>
      <c r="E84" s="68" t="s">
        <v>0</v>
      </c>
      <c r="F84" s="29">
        <f>'[1]Valores ESTEC'!G375</f>
        <v>14685</v>
      </c>
      <c r="G84" s="28">
        <f t="shared" si="2"/>
        <v>0</v>
      </c>
      <c r="H84" s="27"/>
    </row>
    <row r="85" spans="1:8" x14ac:dyDescent="0.25">
      <c r="A85" s="20"/>
      <c r="B85" s="52"/>
      <c r="C85" s="51" t="str">
        <f>'[1]Valores ESTEC'!C376</f>
        <v>GY CURVA RANURADA BPCG CT 100X50X1.2 R200 GALV</v>
      </c>
      <c r="D85" s="66"/>
      <c r="E85" s="66" t="s">
        <v>0</v>
      </c>
      <c r="F85" s="23">
        <f>'[1]Valores ESTEC'!G376</f>
        <v>21652.5</v>
      </c>
      <c r="G85" s="22">
        <f t="shared" si="2"/>
        <v>0</v>
      </c>
      <c r="H85" s="42"/>
    </row>
    <row r="86" spans="1:8" x14ac:dyDescent="0.25">
      <c r="A86" s="20"/>
      <c r="B86" s="52"/>
      <c r="C86" s="53" t="str">
        <f>'[1]Valores ESTEC'!C377</f>
        <v>GY ESCALERILLA EPCG 300X100X2.0 TIRA 3 MTS GALV</v>
      </c>
      <c r="D86" s="68"/>
      <c r="E86" s="68" t="s">
        <v>168</v>
      </c>
      <c r="F86" s="29">
        <f>'[1]Valores ESTEC'!G377</f>
        <v>71065</v>
      </c>
      <c r="G86" s="28">
        <f t="shared" si="2"/>
        <v>0</v>
      </c>
      <c r="H86" s="27"/>
    </row>
    <row r="87" spans="1:8" x14ac:dyDescent="0.25">
      <c r="A87" s="20"/>
      <c r="B87" s="52"/>
      <c r="C87" s="51" t="str">
        <f>'[1]Valores ESTEC'!C378</f>
        <v>GY TAPA BPCG EPCG 200X15X1.2 TIRA 3MTS GALV</v>
      </c>
      <c r="D87" s="66"/>
      <c r="E87" s="66" t="s">
        <v>168</v>
      </c>
      <c r="F87" s="23">
        <f>'[1]Valores ESTEC'!G378</f>
        <v>28653.75</v>
      </c>
      <c r="G87" s="22">
        <f t="shared" si="2"/>
        <v>0</v>
      </c>
      <c r="H87" s="42"/>
    </row>
    <row r="88" spans="1:8" x14ac:dyDescent="0.25">
      <c r="A88" s="20"/>
      <c r="B88" s="52"/>
      <c r="C88" s="53" t="str">
        <f>'[1]Valores ESTEC'!C379</f>
        <v>GY TAPA BPCG EPCG 300X15X1.2 TIRA 3 MTS GALV</v>
      </c>
      <c r="D88" s="68"/>
      <c r="E88" s="68" t="s">
        <v>168</v>
      </c>
      <c r="F88" s="29">
        <f>'[1]Valores ESTEC'!G379</f>
        <v>42261.25</v>
      </c>
      <c r="G88" s="28">
        <f t="shared" si="2"/>
        <v>0</v>
      </c>
      <c r="H88" s="27"/>
    </row>
    <row r="89" spans="1:8" x14ac:dyDescent="0.25">
      <c r="A89" s="20"/>
      <c r="B89" s="52"/>
      <c r="C89" s="51" t="str">
        <f>'[1]Valores ESTEC'!C380</f>
        <v>GY ESCALERILLA EPCG 200X100X2.0 TIRA 3 MTS GALV</v>
      </c>
      <c r="D89" s="66"/>
      <c r="E89" s="66" t="s">
        <v>168</v>
      </c>
      <c r="F89" s="23">
        <f>'[1]Valores ESTEC'!G380</f>
        <v>68112.5</v>
      </c>
      <c r="G89" s="22">
        <f t="shared" si="2"/>
        <v>0</v>
      </c>
      <c r="H89" s="42"/>
    </row>
    <row r="90" spans="1:8" x14ac:dyDescent="0.25">
      <c r="A90" s="20"/>
      <c r="B90" s="52"/>
      <c r="C90" s="53" t="str">
        <f>'[1]Valores ESTEC'!C381</f>
        <v>GY TAPA BPCG EPCG 100X15X1.2 TIRA 3 MTS GALV</v>
      </c>
      <c r="D90" s="68"/>
      <c r="E90" s="68" t="s">
        <v>168</v>
      </c>
      <c r="F90" s="29">
        <f>'[1]Valores ESTEC'!G381</f>
        <v>23660</v>
      </c>
      <c r="G90" s="28">
        <f t="shared" si="2"/>
        <v>0</v>
      </c>
      <c r="H90" s="27"/>
    </row>
    <row r="91" spans="1:8" x14ac:dyDescent="0.25">
      <c r="A91" s="20"/>
      <c r="B91" s="52"/>
      <c r="C91" s="51"/>
      <c r="D91" s="66"/>
      <c r="E91" s="66"/>
      <c r="F91" s="23"/>
      <c r="G91" s="22">
        <f t="shared" si="2"/>
        <v>0</v>
      </c>
      <c r="H91" s="42"/>
    </row>
    <row r="92" spans="1:8" x14ac:dyDescent="0.25">
      <c r="A92" s="20"/>
      <c r="B92" s="52"/>
      <c r="C92" s="53" t="s">
        <v>167</v>
      </c>
      <c r="D92" s="68"/>
      <c r="E92" s="68" t="s">
        <v>0</v>
      </c>
      <c r="F92" s="29">
        <v>1351</v>
      </c>
      <c r="G92" s="28">
        <f t="shared" si="2"/>
        <v>0</v>
      </c>
      <c r="H92" s="27"/>
    </row>
    <row r="93" spans="1:8" x14ac:dyDescent="0.25">
      <c r="A93" s="20"/>
      <c r="B93" s="52"/>
      <c r="C93" s="51" t="s">
        <v>166</v>
      </c>
      <c r="D93" s="66"/>
      <c r="E93" s="66" t="s">
        <v>121</v>
      </c>
      <c r="F93" s="23">
        <f>'[1]Valores ESTEC'!G38</f>
        <v>7810</v>
      </c>
      <c r="G93" s="22">
        <f t="shared" si="2"/>
        <v>0</v>
      </c>
      <c r="H93" s="42"/>
    </row>
    <row r="94" spans="1:8" x14ac:dyDescent="0.25">
      <c r="A94" s="20"/>
      <c r="B94" s="52"/>
      <c r="C94" s="53" t="s">
        <v>165</v>
      </c>
      <c r="D94" s="68"/>
      <c r="E94" s="68" t="s">
        <v>0</v>
      </c>
      <c r="F94" s="29">
        <v>100</v>
      </c>
      <c r="G94" s="28">
        <f t="shared" si="2"/>
        <v>0</v>
      </c>
      <c r="H94" s="27"/>
    </row>
    <row r="95" spans="1:8" x14ac:dyDescent="0.25">
      <c r="A95" s="20"/>
      <c r="B95" s="52"/>
      <c r="C95" s="51" t="s">
        <v>164</v>
      </c>
      <c r="D95" s="66"/>
      <c r="E95" s="66" t="s">
        <v>0</v>
      </c>
      <c r="F95" s="23">
        <v>150</v>
      </c>
      <c r="G95" s="22">
        <f t="shared" si="2"/>
        <v>0</v>
      </c>
      <c r="H95" s="42"/>
    </row>
    <row r="96" spans="1:8" x14ac:dyDescent="0.25">
      <c r="A96" s="20"/>
      <c r="B96" s="52"/>
      <c r="C96" s="53" t="s">
        <v>163</v>
      </c>
      <c r="D96" s="68"/>
      <c r="E96" s="68" t="s">
        <v>0</v>
      </c>
      <c r="F96" s="29">
        <v>40</v>
      </c>
      <c r="G96" s="28">
        <f t="shared" si="2"/>
        <v>0</v>
      </c>
      <c r="H96" s="27"/>
    </row>
    <row r="97" spans="1:8" x14ac:dyDescent="0.25">
      <c r="A97" s="20"/>
      <c r="B97" s="52"/>
      <c r="C97" s="51" t="s">
        <v>162</v>
      </c>
      <c r="D97" s="66"/>
      <c r="E97" s="66" t="s">
        <v>0</v>
      </c>
      <c r="F97" s="23">
        <v>150</v>
      </c>
      <c r="G97" s="22">
        <f t="shared" si="2"/>
        <v>0</v>
      </c>
      <c r="H97" s="42"/>
    </row>
    <row r="98" spans="1:8" x14ac:dyDescent="0.25">
      <c r="A98" s="20"/>
      <c r="B98" s="52"/>
      <c r="C98" s="53" t="s">
        <v>161</v>
      </c>
      <c r="D98" s="68"/>
      <c r="E98" s="68" t="s">
        <v>0</v>
      </c>
      <c r="F98" s="29">
        <v>300</v>
      </c>
      <c r="G98" s="28">
        <f t="shared" si="2"/>
        <v>0</v>
      </c>
      <c r="H98" s="27"/>
    </row>
    <row r="99" spans="1:8" x14ac:dyDescent="0.25">
      <c r="A99" s="20"/>
      <c r="B99" s="52"/>
      <c r="C99" s="51" t="s">
        <v>160</v>
      </c>
      <c r="D99" s="66"/>
      <c r="E99" s="66" t="s">
        <v>4</v>
      </c>
      <c r="F99" s="23">
        <v>3542</v>
      </c>
      <c r="G99" s="22">
        <f t="shared" si="2"/>
        <v>0</v>
      </c>
      <c r="H99" s="42"/>
    </row>
    <row r="100" spans="1:8" x14ac:dyDescent="0.25">
      <c r="A100" s="20"/>
      <c r="B100" s="52"/>
      <c r="C100" s="53" t="s">
        <v>159</v>
      </c>
      <c r="D100" s="68"/>
      <c r="E100" s="68" t="s">
        <v>138</v>
      </c>
      <c r="F100" s="29">
        <v>21307</v>
      </c>
      <c r="G100" s="28">
        <f t="shared" si="2"/>
        <v>0</v>
      </c>
      <c r="H100" s="27"/>
    </row>
    <row r="101" spans="1:8" x14ac:dyDescent="0.25">
      <c r="A101" s="20"/>
      <c r="B101" s="52"/>
      <c r="C101" s="51" t="s">
        <v>158</v>
      </c>
      <c r="D101" s="66"/>
      <c r="E101" s="66" t="s">
        <v>138</v>
      </c>
      <c r="F101" s="23">
        <v>3005</v>
      </c>
      <c r="G101" s="22">
        <f t="shared" si="2"/>
        <v>0</v>
      </c>
      <c r="H101" s="42"/>
    </row>
    <row r="102" spans="1:8" x14ac:dyDescent="0.25">
      <c r="A102" s="20"/>
      <c r="B102" s="52"/>
      <c r="C102" s="53" t="s">
        <v>157</v>
      </c>
      <c r="D102" s="68"/>
      <c r="E102" s="68" t="s">
        <v>0</v>
      </c>
      <c r="F102" s="29">
        <v>498</v>
      </c>
      <c r="G102" s="28">
        <f t="shared" si="2"/>
        <v>0</v>
      </c>
      <c r="H102" s="27"/>
    </row>
    <row r="103" spans="1:8" x14ac:dyDescent="0.25">
      <c r="A103" s="20"/>
      <c r="B103" s="52"/>
      <c r="C103" s="51" t="s">
        <v>156</v>
      </c>
      <c r="D103" s="66"/>
      <c r="E103" s="66" t="s">
        <v>0</v>
      </c>
      <c r="F103" s="23">
        <v>389</v>
      </c>
      <c r="G103" s="22">
        <f t="shared" si="2"/>
        <v>0</v>
      </c>
      <c r="H103" s="42"/>
    </row>
    <row r="104" spans="1:8" x14ac:dyDescent="0.25">
      <c r="A104" s="20"/>
      <c r="B104" s="52"/>
      <c r="C104" s="53" t="s">
        <v>155</v>
      </c>
      <c r="D104" s="68"/>
      <c r="E104" s="68" t="s">
        <v>154</v>
      </c>
      <c r="F104" s="29">
        <v>27008</v>
      </c>
      <c r="G104" s="28">
        <f t="shared" si="2"/>
        <v>0</v>
      </c>
      <c r="H104" s="27"/>
    </row>
    <row r="105" spans="1:8" x14ac:dyDescent="0.25">
      <c r="A105" s="20"/>
      <c r="B105" s="52"/>
      <c r="C105" s="51" t="s">
        <v>153</v>
      </c>
      <c r="D105" s="66"/>
      <c r="E105" s="66" t="s">
        <v>0</v>
      </c>
      <c r="F105" s="23">
        <v>25412</v>
      </c>
      <c r="G105" s="22">
        <f t="shared" si="2"/>
        <v>0</v>
      </c>
      <c r="H105" s="42"/>
    </row>
    <row r="106" spans="1:8" x14ac:dyDescent="0.25">
      <c r="A106" s="20"/>
      <c r="B106" s="52"/>
      <c r="C106" s="53" t="s">
        <v>152</v>
      </c>
      <c r="D106" s="68"/>
      <c r="E106" s="68" t="s">
        <v>0</v>
      </c>
      <c r="F106" s="29">
        <v>12210</v>
      </c>
      <c r="G106" s="28">
        <f t="shared" si="2"/>
        <v>0</v>
      </c>
      <c r="H106" s="27"/>
    </row>
    <row r="107" spans="1:8" x14ac:dyDescent="0.25">
      <c r="A107" s="20"/>
      <c r="B107" s="52"/>
      <c r="C107" s="51"/>
      <c r="D107" s="66"/>
      <c r="E107" s="66"/>
      <c r="F107" s="23"/>
      <c r="G107" s="22">
        <f t="shared" si="2"/>
        <v>0</v>
      </c>
      <c r="H107" s="42"/>
    </row>
    <row r="108" spans="1:8" x14ac:dyDescent="0.25">
      <c r="A108" s="20"/>
      <c r="B108" s="52"/>
      <c r="C108" s="53"/>
      <c r="D108" s="68"/>
      <c r="E108" s="68"/>
      <c r="F108" s="29"/>
      <c r="G108" s="28">
        <f t="shared" si="2"/>
        <v>0</v>
      </c>
      <c r="H108" s="27"/>
    </row>
    <row r="109" spans="1:8" x14ac:dyDescent="0.25">
      <c r="A109" s="20"/>
      <c r="B109" s="52"/>
      <c r="C109" s="51"/>
      <c r="D109" s="66"/>
      <c r="E109" s="66"/>
      <c r="F109" s="23"/>
      <c r="G109" s="22">
        <f t="shared" ref="G109:G128" si="3">F109*D109</f>
        <v>0</v>
      </c>
      <c r="H109" s="42"/>
    </row>
    <row r="110" spans="1:8" x14ac:dyDescent="0.25">
      <c r="A110" s="20"/>
      <c r="B110" s="52"/>
      <c r="C110" s="53"/>
      <c r="D110" s="68"/>
      <c r="E110" s="68"/>
      <c r="F110" s="29"/>
      <c r="G110" s="28">
        <f t="shared" si="3"/>
        <v>0</v>
      </c>
      <c r="H110" s="27"/>
    </row>
    <row r="111" spans="1:8" x14ac:dyDescent="0.25">
      <c r="A111" s="20"/>
      <c r="B111" s="52"/>
      <c r="C111" s="51"/>
      <c r="D111" s="66"/>
      <c r="E111" s="66"/>
      <c r="F111" s="23"/>
      <c r="G111" s="22">
        <f t="shared" si="3"/>
        <v>0</v>
      </c>
      <c r="H111" s="42"/>
    </row>
    <row r="112" spans="1:8" x14ac:dyDescent="0.25">
      <c r="A112" s="20"/>
      <c r="B112" s="52"/>
      <c r="C112" s="53"/>
      <c r="D112" s="68"/>
      <c r="E112" s="68"/>
      <c r="F112" s="29"/>
      <c r="G112" s="28">
        <f t="shared" si="3"/>
        <v>0</v>
      </c>
      <c r="H112" s="27"/>
    </row>
    <row r="113" spans="1:8" x14ac:dyDescent="0.25">
      <c r="A113" s="20"/>
      <c r="B113" s="52"/>
      <c r="C113" s="51"/>
      <c r="D113" s="66"/>
      <c r="E113" s="66"/>
      <c r="F113" s="23"/>
      <c r="G113" s="22">
        <f t="shared" si="3"/>
        <v>0</v>
      </c>
      <c r="H113" s="42"/>
    </row>
    <row r="114" spans="1:8" x14ac:dyDescent="0.25">
      <c r="A114" s="20"/>
      <c r="B114" s="52"/>
      <c r="C114" s="53"/>
      <c r="D114" s="68"/>
      <c r="E114" s="68"/>
      <c r="F114" s="29"/>
      <c r="G114" s="28">
        <f t="shared" si="3"/>
        <v>0</v>
      </c>
      <c r="H114" s="27"/>
    </row>
    <row r="115" spans="1:8" x14ac:dyDescent="0.25">
      <c r="A115" s="20"/>
      <c r="B115" s="52"/>
      <c r="C115" s="51"/>
      <c r="D115" s="66"/>
      <c r="E115" s="66"/>
      <c r="F115" s="23"/>
      <c r="G115" s="22">
        <f t="shared" si="3"/>
        <v>0</v>
      </c>
      <c r="H115" s="42"/>
    </row>
    <row r="116" spans="1:8" x14ac:dyDescent="0.25">
      <c r="A116" s="20"/>
      <c r="B116" s="52"/>
      <c r="C116" s="53"/>
      <c r="D116" s="68"/>
      <c r="E116" s="68"/>
      <c r="F116" s="29"/>
      <c r="G116" s="28">
        <f t="shared" si="3"/>
        <v>0</v>
      </c>
      <c r="H116" s="27"/>
    </row>
    <row r="117" spans="1:8" x14ac:dyDescent="0.25">
      <c r="A117" s="20"/>
      <c r="B117" s="52"/>
      <c r="C117" s="51"/>
      <c r="D117" s="66"/>
      <c r="E117" s="66"/>
      <c r="F117" s="23"/>
      <c r="G117" s="22">
        <f t="shared" si="3"/>
        <v>0</v>
      </c>
      <c r="H117" s="42"/>
    </row>
    <row r="118" spans="1:8" x14ac:dyDescent="0.25">
      <c r="A118" s="20"/>
      <c r="B118" s="52"/>
      <c r="C118" s="53"/>
      <c r="D118" s="68"/>
      <c r="E118" s="68"/>
      <c r="F118" s="29"/>
      <c r="G118" s="28">
        <f t="shared" si="3"/>
        <v>0</v>
      </c>
      <c r="H118" s="27"/>
    </row>
    <row r="119" spans="1:8" x14ac:dyDescent="0.25">
      <c r="A119" s="20"/>
      <c r="B119" s="52"/>
      <c r="C119" s="51"/>
      <c r="D119" s="66"/>
      <c r="E119" s="66"/>
      <c r="F119" s="23"/>
      <c r="G119" s="22">
        <f t="shared" si="3"/>
        <v>0</v>
      </c>
      <c r="H119" s="42"/>
    </row>
    <row r="120" spans="1:8" x14ac:dyDescent="0.25">
      <c r="A120" s="20"/>
      <c r="B120" s="52"/>
      <c r="C120" s="53"/>
      <c r="D120" s="68"/>
      <c r="E120" s="68"/>
      <c r="F120" s="29"/>
      <c r="G120" s="28">
        <f t="shared" si="3"/>
        <v>0</v>
      </c>
      <c r="H120" s="27"/>
    </row>
    <row r="121" spans="1:8" x14ac:dyDescent="0.25">
      <c r="A121" s="20"/>
      <c r="B121" s="52"/>
      <c r="C121" s="51"/>
      <c r="D121" s="66"/>
      <c r="E121" s="66"/>
      <c r="F121" s="23"/>
      <c r="G121" s="22">
        <f t="shared" si="3"/>
        <v>0</v>
      </c>
      <c r="H121" s="42"/>
    </row>
    <row r="122" spans="1:8" x14ac:dyDescent="0.25">
      <c r="A122" s="20"/>
      <c r="B122" s="52"/>
      <c r="C122" s="53"/>
      <c r="D122" s="68"/>
      <c r="E122" s="68"/>
      <c r="F122" s="29"/>
      <c r="G122" s="28">
        <f t="shared" si="3"/>
        <v>0</v>
      </c>
      <c r="H122" s="27"/>
    </row>
    <row r="123" spans="1:8" x14ac:dyDescent="0.25">
      <c r="A123" s="20"/>
      <c r="B123" s="52"/>
      <c r="C123" s="51"/>
      <c r="D123" s="66"/>
      <c r="E123" s="66"/>
      <c r="F123" s="23"/>
      <c r="G123" s="22">
        <f t="shared" si="3"/>
        <v>0</v>
      </c>
      <c r="H123" s="42"/>
    </row>
    <row r="124" spans="1:8" x14ac:dyDescent="0.25">
      <c r="A124" s="20"/>
      <c r="B124" s="52"/>
      <c r="C124" s="53"/>
      <c r="D124" s="68"/>
      <c r="E124" s="68"/>
      <c r="F124" s="29"/>
      <c r="G124" s="28">
        <f t="shared" si="3"/>
        <v>0</v>
      </c>
      <c r="H124" s="27"/>
    </row>
    <row r="125" spans="1:8" x14ac:dyDescent="0.25">
      <c r="A125" s="20"/>
      <c r="B125" s="52"/>
      <c r="C125" s="51"/>
      <c r="D125" s="66"/>
      <c r="E125" s="66"/>
      <c r="F125" s="23"/>
      <c r="G125" s="22">
        <f t="shared" si="3"/>
        <v>0</v>
      </c>
      <c r="H125" s="42"/>
    </row>
    <row r="126" spans="1:8" x14ac:dyDescent="0.25">
      <c r="A126" s="20"/>
      <c r="B126" s="52"/>
      <c r="C126" s="53"/>
      <c r="D126" s="68"/>
      <c r="E126" s="68"/>
      <c r="F126" s="29"/>
      <c r="G126" s="28">
        <f t="shared" si="3"/>
        <v>0</v>
      </c>
      <c r="H126" s="27"/>
    </row>
    <row r="127" spans="1:8" x14ac:dyDescent="0.25">
      <c r="A127" s="20"/>
      <c r="B127" s="52"/>
      <c r="C127" s="51"/>
      <c r="D127" s="66"/>
      <c r="E127" s="66"/>
      <c r="F127" s="23"/>
      <c r="G127" s="22">
        <f t="shared" si="3"/>
        <v>0</v>
      </c>
      <c r="H127" s="42"/>
    </row>
    <row r="128" spans="1:8" x14ac:dyDescent="0.25">
      <c r="A128" s="20"/>
      <c r="B128" s="52"/>
      <c r="C128" s="53"/>
      <c r="D128" s="68"/>
      <c r="E128" s="68"/>
      <c r="F128" s="29"/>
      <c r="G128" s="28">
        <f t="shared" si="3"/>
        <v>0</v>
      </c>
      <c r="H128" s="27"/>
    </row>
    <row r="129" spans="1:8" x14ac:dyDescent="0.25">
      <c r="A129" s="20"/>
      <c r="B129" s="52"/>
      <c r="C129" s="51"/>
      <c r="D129" s="66"/>
      <c r="E129" s="66"/>
      <c r="F129" s="23"/>
      <c r="G129" s="22">
        <f t="shared" si="2"/>
        <v>0</v>
      </c>
      <c r="H129" s="42"/>
    </row>
    <row r="130" spans="1:8" x14ac:dyDescent="0.25">
      <c r="A130" s="20"/>
      <c r="B130" s="52"/>
      <c r="C130" s="53"/>
      <c r="D130" s="68"/>
      <c r="E130" s="68"/>
      <c r="F130" s="29"/>
      <c r="G130" s="28">
        <f t="shared" si="2"/>
        <v>0</v>
      </c>
      <c r="H130" s="27"/>
    </row>
    <row r="131" spans="1:8" x14ac:dyDescent="0.25">
      <c r="A131" s="20"/>
      <c r="B131" s="52"/>
      <c r="C131" s="51"/>
      <c r="D131" s="66"/>
      <c r="E131" s="66"/>
      <c r="F131" s="23"/>
      <c r="G131" s="22">
        <f t="shared" si="2"/>
        <v>0</v>
      </c>
      <c r="H131" s="42"/>
    </row>
    <row r="132" spans="1:8" x14ac:dyDescent="0.25">
      <c r="A132" s="20"/>
      <c r="B132" s="52"/>
      <c r="C132" s="53"/>
      <c r="D132" s="68"/>
      <c r="E132" s="68"/>
      <c r="F132" s="29"/>
      <c r="G132" s="28">
        <f t="shared" si="2"/>
        <v>0</v>
      </c>
      <c r="H132" s="27"/>
    </row>
    <row r="133" spans="1:8" x14ac:dyDescent="0.25">
      <c r="A133" s="20"/>
      <c r="B133" s="52"/>
      <c r="C133" s="51"/>
      <c r="D133" s="66"/>
      <c r="E133" s="66"/>
      <c r="F133" s="23"/>
      <c r="G133" s="22">
        <f t="shared" si="2"/>
        <v>0</v>
      </c>
      <c r="H133" s="42"/>
    </row>
    <row r="134" spans="1:8" x14ac:dyDescent="0.25">
      <c r="A134" s="20"/>
      <c r="B134" s="52"/>
      <c r="C134" s="53"/>
      <c r="D134" s="68"/>
      <c r="E134" s="68"/>
      <c r="F134" s="29"/>
      <c r="G134" s="28">
        <f t="shared" si="2"/>
        <v>0</v>
      </c>
      <c r="H134" s="27"/>
    </row>
    <row r="135" spans="1:8" x14ac:dyDescent="0.25">
      <c r="A135" s="20"/>
      <c r="B135" s="52"/>
      <c r="C135" s="51"/>
      <c r="D135" s="66"/>
      <c r="E135" s="66"/>
      <c r="F135" s="23"/>
      <c r="G135" s="22">
        <f t="shared" si="2"/>
        <v>0</v>
      </c>
      <c r="H135" s="42"/>
    </row>
    <row r="136" spans="1:8" x14ac:dyDescent="0.25">
      <c r="A136" s="20"/>
      <c r="B136" s="52"/>
      <c r="C136" s="53"/>
      <c r="D136" s="68"/>
      <c r="E136" s="68"/>
      <c r="F136" s="29"/>
      <c r="G136" s="28">
        <f t="shared" si="2"/>
        <v>0</v>
      </c>
      <c r="H136" s="27"/>
    </row>
    <row r="137" spans="1:8" x14ac:dyDescent="0.25">
      <c r="A137" s="20"/>
      <c r="B137" s="52"/>
      <c r="C137" s="51"/>
      <c r="D137" s="66"/>
      <c r="E137" s="66"/>
      <c r="F137" s="23"/>
      <c r="G137" s="22">
        <f t="shared" si="2"/>
        <v>0</v>
      </c>
      <c r="H137" s="42"/>
    </row>
    <row r="138" spans="1:8" x14ac:dyDescent="0.25">
      <c r="A138" s="20"/>
      <c r="B138" s="52"/>
      <c r="C138" s="53"/>
      <c r="D138" s="68"/>
      <c r="E138" s="68"/>
      <c r="F138" s="29"/>
      <c r="G138" s="28">
        <f t="shared" si="2"/>
        <v>0</v>
      </c>
      <c r="H138" s="27"/>
    </row>
    <row r="139" spans="1:8" x14ac:dyDescent="0.25">
      <c r="A139" s="20"/>
      <c r="B139" s="52"/>
      <c r="C139" s="51"/>
      <c r="D139" s="66"/>
      <c r="E139" s="66"/>
      <c r="F139" s="23"/>
      <c r="G139" s="22">
        <f t="shared" si="2"/>
        <v>0</v>
      </c>
      <c r="H139" s="42"/>
    </row>
    <row r="140" spans="1:8" ht="15.75" thickBot="1" x14ac:dyDescent="0.3">
      <c r="A140" s="20"/>
      <c r="B140" s="75"/>
      <c r="C140" s="53"/>
      <c r="D140" s="68"/>
      <c r="E140" s="68"/>
      <c r="F140" s="29"/>
      <c r="G140" s="28">
        <f t="shared" si="2"/>
        <v>0</v>
      </c>
      <c r="H140" s="27"/>
    </row>
    <row r="141" spans="1:8" x14ac:dyDescent="0.25">
      <c r="A141" s="20"/>
      <c r="B141" s="73" t="s">
        <v>151</v>
      </c>
      <c r="C141" s="87" t="s">
        <v>150</v>
      </c>
      <c r="D141" s="72"/>
      <c r="E141" s="72" t="s">
        <v>138</v>
      </c>
      <c r="F141" s="46">
        <f>'[1]Valores ESTEC'!G123</f>
        <v>721.25</v>
      </c>
      <c r="G141" s="45">
        <f>F141*D141</f>
        <v>0</v>
      </c>
      <c r="H141" s="86"/>
    </row>
    <row r="142" spans="1:8" x14ac:dyDescent="0.25">
      <c r="A142" s="20"/>
      <c r="B142" s="52"/>
      <c r="C142" s="51" t="s">
        <v>149</v>
      </c>
      <c r="D142" s="66"/>
      <c r="E142" s="66" t="s">
        <v>0</v>
      </c>
      <c r="F142" s="23">
        <f>'[1]Valores ESTEC'!G124</f>
        <v>75</v>
      </c>
      <c r="G142" s="22">
        <f>F142*D142</f>
        <v>0</v>
      </c>
      <c r="H142" s="81"/>
    </row>
    <row r="143" spans="1:8" x14ac:dyDescent="0.25">
      <c r="A143" s="20"/>
      <c r="B143" s="52"/>
      <c r="C143" s="53" t="s">
        <v>148</v>
      </c>
      <c r="D143" s="68"/>
      <c r="E143" s="68" t="s">
        <v>0</v>
      </c>
      <c r="F143" s="29">
        <f>'[1]Valores ESTEC'!G125</f>
        <v>208.75</v>
      </c>
      <c r="G143" s="28">
        <f>F143*D143</f>
        <v>0</v>
      </c>
      <c r="H143" s="77"/>
    </row>
    <row r="144" spans="1:8" x14ac:dyDescent="0.25">
      <c r="A144" s="20"/>
      <c r="B144" s="52"/>
      <c r="C144" s="51" t="s">
        <v>147</v>
      </c>
      <c r="D144" s="66"/>
      <c r="E144" s="66" t="s">
        <v>0</v>
      </c>
      <c r="F144" s="23">
        <v>57</v>
      </c>
      <c r="G144" s="22">
        <f>F144*D144</f>
        <v>0</v>
      </c>
      <c r="H144" s="81"/>
    </row>
    <row r="145" spans="1:8" x14ac:dyDescent="0.25">
      <c r="A145" s="20"/>
      <c r="B145" s="52"/>
      <c r="C145" s="53" t="s">
        <v>146</v>
      </c>
      <c r="D145" s="88"/>
      <c r="E145" s="88" t="s">
        <v>138</v>
      </c>
      <c r="F145" s="29">
        <f>'[1]Valores ESTEC'!G126</f>
        <v>930</v>
      </c>
      <c r="G145" s="28">
        <f t="shared" ref="G145:G187" si="4">F145*D145</f>
        <v>0</v>
      </c>
      <c r="H145" s="77"/>
    </row>
    <row r="146" spans="1:8" x14ac:dyDescent="0.25">
      <c r="A146" s="20"/>
      <c r="B146" s="52"/>
      <c r="C146" s="51" t="s">
        <v>145</v>
      </c>
      <c r="D146" s="66"/>
      <c r="E146" s="66" t="s">
        <v>0</v>
      </c>
      <c r="F146" s="23">
        <f>'[1]Valores ESTEC'!G127</f>
        <v>95</v>
      </c>
      <c r="G146" s="22">
        <f t="shared" si="4"/>
        <v>0</v>
      </c>
      <c r="H146" s="81"/>
    </row>
    <row r="147" spans="1:8" x14ac:dyDescent="0.25">
      <c r="A147" s="20"/>
      <c r="B147" s="52"/>
      <c r="C147" s="53" t="s">
        <v>144</v>
      </c>
      <c r="D147" s="88"/>
      <c r="E147" s="88" t="s">
        <v>0</v>
      </c>
      <c r="F147" s="29">
        <f>'[1]Valores ESTEC'!G128</f>
        <v>267.5</v>
      </c>
      <c r="G147" s="28">
        <f t="shared" si="4"/>
        <v>0</v>
      </c>
      <c r="H147" s="77"/>
    </row>
    <row r="148" spans="1:8" x14ac:dyDescent="0.25">
      <c r="A148" s="20"/>
      <c r="B148" s="52"/>
      <c r="C148" s="51" t="s">
        <v>143</v>
      </c>
      <c r="D148" s="66"/>
      <c r="E148" s="66" t="s">
        <v>0</v>
      </c>
      <c r="F148" s="23">
        <v>65</v>
      </c>
      <c r="G148" s="22">
        <f t="shared" si="4"/>
        <v>0</v>
      </c>
      <c r="H148" s="81"/>
    </row>
    <row r="149" spans="1:8" x14ac:dyDescent="0.25">
      <c r="A149" s="20"/>
      <c r="B149" s="52"/>
      <c r="C149" s="53" t="s">
        <v>142</v>
      </c>
      <c r="D149" s="88"/>
      <c r="E149" s="88" t="s">
        <v>138</v>
      </c>
      <c r="F149" s="29">
        <f>'[1]Valores ESTEC'!G129</f>
        <v>1410</v>
      </c>
      <c r="G149" s="28">
        <f t="shared" si="4"/>
        <v>0</v>
      </c>
      <c r="H149" s="77"/>
    </row>
    <row r="150" spans="1:8" x14ac:dyDescent="0.25">
      <c r="A150" s="20"/>
      <c r="B150" s="52"/>
      <c r="C150" s="51" t="s">
        <v>141</v>
      </c>
      <c r="D150" s="66"/>
      <c r="E150" s="66" t="s">
        <v>0</v>
      </c>
      <c r="F150" s="23">
        <f>'[1]Valores ESTEC'!G130</f>
        <v>215</v>
      </c>
      <c r="G150" s="22">
        <f t="shared" si="4"/>
        <v>0</v>
      </c>
      <c r="H150" s="81"/>
    </row>
    <row r="151" spans="1:8" x14ac:dyDescent="0.25">
      <c r="A151" s="20"/>
      <c r="B151" s="52"/>
      <c r="C151" s="53" t="s">
        <v>140</v>
      </c>
      <c r="D151" s="88"/>
      <c r="E151" s="88" t="s">
        <v>0</v>
      </c>
      <c r="F151" s="29">
        <f>'[1]Valores ESTEC'!G131</f>
        <v>330</v>
      </c>
      <c r="G151" s="28">
        <f t="shared" si="4"/>
        <v>0</v>
      </c>
      <c r="H151" s="77"/>
    </row>
    <row r="152" spans="1:8" x14ac:dyDescent="0.25">
      <c r="A152" s="20"/>
      <c r="B152" s="52"/>
      <c r="C152" s="51" t="s">
        <v>139</v>
      </c>
      <c r="D152" s="66"/>
      <c r="E152" s="66" t="s">
        <v>0</v>
      </c>
      <c r="F152" s="23">
        <v>96</v>
      </c>
      <c r="G152" s="22">
        <f t="shared" si="4"/>
        <v>0</v>
      </c>
      <c r="H152" s="81"/>
    </row>
    <row r="153" spans="1:8" x14ac:dyDescent="0.25">
      <c r="A153" s="20"/>
      <c r="B153" s="52"/>
      <c r="C153" s="53" t="str">
        <f>'[1]Valores ESTEC'!C382</f>
        <v>TUBO CONDUIT PVC 40MM 3 MTS</v>
      </c>
      <c r="D153" s="88"/>
      <c r="E153" s="88" t="s">
        <v>138</v>
      </c>
      <c r="F153" s="29">
        <f>'[1]Valores ESTEC'!G382</f>
        <v>2453.75</v>
      </c>
      <c r="G153" s="28">
        <f t="shared" si="4"/>
        <v>0</v>
      </c>
      <c r="H153" s="77"/>
    </row>
    <row r="154" spans="1:8" x14ac:dyDescent="0.25">
      <c r="A154" s="20"/>
      <c r="B154" s="52"/>
      <c r="C154" s="51" t="str">
        <f>'[1]Valores ESTEC'!C383</f>
        <v>CURVA 90° CONDUIT PVC 40MM</v>
      </c>
      <c r="D154" s="66"/>
      <c r="E154" s="66" t="s">
        <v>0</v>
      </c>
      <c r="F154" s="23">
        <f>'[1]Valores ESTEC'!G383</f>
        <v>517.5</v>
      </c>
      <c r="G154" s="22">
        <f t="shared" si="4"/>
        <v>0</v>
      </c>
      <c r="H154" s="81"/>
    </row>
    <row r="155" spans="1:8" x14ac:dyDescent="0.25">
      <c r="A155" s="20"/>
      <c r="B155" s="52"/>
      <c r="C155" s="53" t="str">
        <f>'[1]Valores ESTEC'!C384</f>
        <v>TUBO CONDUIT PVC 50MM 3 MTS</v>
      </c>
      <c r="D155" s="88"/>
      <c r="E155" s="88" t="s">
        <v>122</v>
      </c>
      <c r="F155" s="29">
        <f>'[1]Valores ESTEC'!G384</f>
        <v>3588.75</v>
      </c>
      <c r="G155" s="28">
        <f t="shared" si="4"/>
        <v>0</v>
      </c>
      <c r="H155" s="77"/>
    </row>
    <row r="156" spans="1:8" x14ac:dyDescent="0.25">
      <c r="A156" s="20"/>
      <c r="B156" s="52"/>
      <c r="C156" s="51" t="str">
        <f>'[1]Valores ESTEC'!C385</f>
        <v>CURVA 90° CONDUIT PVC 50MM</v>
      </c>
      <c r="D156" s="66"/>
      <c r="E156" s="66" t="s">
        <v>0</v>
      </c>
      <c r="F156" s="23">
        <f>'[1]Valores ESTEC'!G385</f>
        <v>1076.25</v>
      </c>
      <c r="G156" s="22">
        <f t="shared" si="4"/>
        <v>0</v>
      </c>
      <c r="H156" s="81"/>
    </row>
    <row r="157" spans="1:8" x14ac:dyDescent="0.25">
      <c r="A157" s="20"/>
      <c r="B157" s="52"/>
      <c r="C157" s="53" t="str">
        <f>'[1]Valores ESTEC'!C386</f>
        <v>TERMINAL COMPLETO CONDUIT PVC 50MM</v>
      </c>
      <c r="D157" s="88"/>
      <c r="E157" s="88" t="s">
        <v>0</v>
      </c>
      <c r="F157" s="29">
        <f>'[1]Valores ESTEC'!G386</f>
        <v>917.5</v>
      </c>
      <c r="G157" s="28">
        <f t="shared" si="4"/>
        <v>0</v>
      </c>
      <c r="H157" s="77"/>
    </row>
    <row r="158" spans="1:8" x14ac:dyDescent="0.25">
      <c r="A158" s="20"/>
      <c r="B158" s="52"/>
      <c r="C158" s="51" t="str">
        <f>'[1]Valores ESTEC'!C387</f>
        <v>SALIDA DE CAJA CONDUIT PVC 50MM</v>
      </c>
      <c r="D158" s="66"/>
      <c r="E158" s="66" t="s">
        <v>0</v>
      </c>
      <c r="F158" s="23">
        <f>'[1]Valores ESTEC'!G387</f>
        <v>455</v>
      </c>
      <c r="G158" s="22">
        <f t="shared" si="4"/>
        <v>0</v>
      </c>
      <c r="H158" s="81"/>
    </row>
    <row r="159" spans="1:8" x14ac:dyDescent="0.25">
      <c r="A159" s="20"/>
      <c r="B159" s="52"/>
      <c r="C159" s="53" t="str">
        <f>'[1]Valores ESTEC'!C392</f>
        <v>ABRAZADERA METALICA OMEGA 40MM TSP-40</v>
      </c>
      <c r="D159" s="88"/>
      <c r="E159" s="88" t="s">
        <v>0</v>
      </c>
      <c r="F159" s="29">
        <f>'[1]Valores ESTEC'!G392</f>
        <v>63.75</v>
      </c>
      <c r="G159" s="28">
        <f t="shared" si="4"/>
        <v>0</v>
      </c>
      <c r="H159" s="77"/>
    </row>
    <row r="160" spans="1:8" x14ac:dyDescent="0.25">
      <c r="A160" s="20"/>
      <c r="B160" s="52"/>
      <c r="C160" s="51" t="str">
        <f>'[1]Valores ESTEC'!C393</f>
        <v>ABRAZADERA METALICA OMEGA 50MM TSP-50</v>
      </c>
      <c r="D160" s="66"/>
      <c r="E160" s="66" t="s">
        <v>0</v>
      </c>
      <c r="F160" s="23">
        <f>'[1]Valores ESTEC'!G393</f>
        <v>96.25</v>
      </c>
      <c r="G160" s="22">
        <f t="shared" si="4"/>
        <v>0</v>
      </c>
      <c r="H160" s="81"/>
    </row>
    <row r="161" spans="1:8" x14ac:dyDescent="0.25">
      <c r="A161" s="20"/>
      <c r="B161" s="52"/>
      <c r="C161" s="53" t="s">
        <v>137</v>
      </c>
      <c r="D161" s="88"/>
      <c r="E161" s="88" t="s">
        <v>0</v>
      </c>
      <c r="F161" s="29">
        <f>'[1]Valores ESTEC'!E223</f>
        <v>867</v>
      </c>
      <c r="G161" s="28">
        <f t="shared" si="4"/>
        <v>0</v>
      </c>
      <c r="H161" s="77"/>
    </row>
    <row r="162" spans="1:8" x14ac:dyDescent="0.25">
      <c r="A162" s="20"/>
      <c r="B162" s="52"/>
      <c r="C162" s="51" t="str">
        <f>'[1]Valores ESTEC'!C394</f>
        <v>LX CAJA ESTANCA 85X85X50 IP55 7 SALIDAS</v>
      </c>
      <c r="D162" s="66"/>
      <c r="E162" s="66" t="s">
        <v>0</v>
      </c>
      <c r="F162" s="23">
        <f>'[1]Valores ESTEC'!G394</f>
        <v>1232.5</v>
      </c>
      <c r="G162" s="22">
        <f t="shared" si="4"/>
        <v>0</v>
      </c>
      <c r="H162" s="81"/>
    </row>
    <row r="163" spans="1:8" x14ac:dyDescent="0.25">
      <c r="A163" s="20"/>
      <c r="B163" s="52"/>
      <c r="C163" s="53" t="str">
        <f>'[1]Valores ESTEC'!C395</f>
        <v>LX CAJA ESTANCA 100X100X70 IP55 7 SALIDAS</v>
      </c>
      <c r="D163" s="88"/>
      <c r="E163" s="88" t="s">
        <v>0</v>
      </c>
      <c r="F163" s="29">
        <f>'[1]Valores ESTEC'!G395</f>
        <v>2075</v>
      </c>
      <c r="G163" s="28">
        <f t="shared" si="4"/>
        <v>0</v>
      </c>
      <c r="H163" s="77"/>
    </row>
    <row r="164" spans="1:8" x14ac:dyDescent="0.25">
      <c r="A164" s="20"/>
      <c r="B164" s="52"/>
      <c r="C164" s="51" t="str">
        <f>'[1]Valores ESTEC'!C379</f>
        <v>GY TAPA BPCG EPCG 300X15X1.2 TIRA 3 MTS GALV</v>
      </c>
      <c r="D164" s="66"/>
      <c r="E164" s="66" t="s">
        <v>0</v>
      </c>
      <c r="F164" s="23">
        <f>'[1]Valores ESTEC'!G379</f>
        <v>42261.25</v>
      </c>
      <c r="G164" s="22">
        <f t="shared" si="4"/>
        <v>0</v>
      </c>
      <c r="H164" s="81"/>
    </row>
    <row r="165" spans="1:8" x14ac:dyDescent="0.25">
      <c r="A165" s="20"/>
      <c r="B165" s="52"/>
      <c r="C165" s="53" t="str">
        <f>'[1]Valores ESTEC'!C380</f>
        <v>GY ESCALERILLA EPCG 200X100X2.0 TIRA 3 MTS GALV</v>
      </c>
      <c r="D165" s="88"/>
      <c r="E165" s="88" t="s">
        <v>0</v>
      </c>
      <c r="F165" s="29">
        <f>'[1]Valores ESTEC'!G380</f>
        <v>68112.5</v>
      </c>
      <c r="G165" s="28">
        <f t="shared" si="4"/>
        <v>0</v>
      </c>
      <c r="H165" s="77"/>
    </row>
    <row r="166" spans="1:8" x14ac:dyDescent="0.25">
      <c r="A166" s="20"/>
      <c r="B166" s="52"/>
      <c r="C166" s="51"/>
      <c r="D166" s="24"/>
      <c r="E166" s="24"/>
      <c r="F166" s="23"/>
      <c r="G166" s="22">
        <f t="shared" si="4"/>
        <v>0</v>
      </c>
      <c r="H166" s="81"/>
    </row>
    <row r="167" spans="1:8" x14ac:dyDescent="0.25">
      <c r="A167" s="20"/>
      <c r="B167" s="52"/>
      <c r="C167" s="61"/>
      <c r="D167" s="30"/>
      <c r="E167" s="30"/>
      <c r="F167" s="29"/>
      <c r="G167" s="28">
        <f t="shared" si="4"/>
        <v>0</v>
      </c>
      <c r="H167" s="77"/>
    </row>
    <row r="168" spans="1:8" x14ac:dyDescent="0.25">
      <c r="A168" s="20"/>
      <c r="B168" s="52"/>
      <c r="C168" s="51"/>
      <c r="D168" s="24"/>
      <c r="E168" s="24"/>
      <c r="F168" s="23"/>
      <c r="G168" s="22">
        <f t="shared" ref="G168:G176" si="5">F168*D168</f>
        <v>0</v>
      </c>
      <c r="H168" s="81"/>
    </row>
    <row r="169" spans="1:8" x14ac:dyDescent="0.25">
      <c r="A169" s="20"/>
      <c r="B169" s="52"/>
      <c r="C169" s="61"/>
      <c r="D169" s="30"/>
      <c r="E169" s="30"/>
      <c r="F169" s="29"/>
      <c r="G169" s="28">
        <f t="shared" si="5"/>
        <v>0</v>
      </c>
      <c r="H169" s="77"/>
    </row>
    <row r="170" spans="1:8" x14ac:dyDescent="0.25">
      <c r="A170" s="20"/>
      <c r="B170" s="52"/>
      <c r="C170" s="51"/>
      <c r="D170" s="24"/>
      <c r="E170" s="24"/>
      <c r="F170" s="23"/>
      <c r="G170" s="22">
        <f t="shared" si="5"/>
        <v>0</v>
      </c>
      <c r="H170" s="81"/>
    </row>
    <row r="171" spans="1:8" x14ac:dyDescent="0.25">
      <c r="A171" s="20"/>
      <c r="B171" s="52"/>
      <c r="C171" s="61"/>
      <c r="D171" s="30"/>
      <c r="E171" s="30"/>
      <c r="F171" s="29"/>
      <c r="G171" s="28">
        <f t="shared" si="5"/>
        <v>0</v>
      </c>
      <c r="H171" s="77"/>
    </row>
    <row r="172" spans="1:8" x14ac:dyDescent="0.25">
      <c r="A172" s="20"/>
      <c r="B172" s="52"/>
      <c r="C172" s="51"/>
      <c r="D172" s="24"/>
      <c r="E172" s="24"/>
      <c r="F172" s="23"/>
      <c r="G172" s="22">
        <f t="shared" si="5"/>
        <v>0</v>
      </c>
      <c r="H172" s="81"/>
    </row>
    <row r="173" spans="1:8" x14ac:dyDescent="0.25">
      <c r="A173" s="20"/>
      <c r="B173" s="52"/>
      <c r="C173" s="61"/>
      <c r="D173" s="30"/>
      <c r="E173" s="30"/>
      <c r="F173" s="29"/>
      <c r="G173" s="28">
        <f t="shared" si="5"/>
        <v>0</v>
      </c>
      <c r="H173" s="77"/>
    </row>
    <row r="174" spans="1:8" x14ac:dyDescent="0.25">
      <c r="A174" s="20"/>
      <c r="B174" s="52"/>
      <c r="C174" s="51"/>
      <c r="D174" s="24"/>
      <c r="E174" s="24"/>
      <c r="F174" s="23"/>
      <c r="G174" s="22">
        <f t="shared" si="5"/>
        <v>0</v>
      </c>
      <c r="H174" s="81"/>
    </row>
    <row r="175" spans="1:8" x14ac:dyDescent="0.25">
      <c r="A175" s="20"/>
      <c r="B175" s="52"/>
      <c r="C175" s="61"/>
      <c r="D175" s="30"/>
      <c r="E175" s="30"/>
      <c r="F175" s="29"/>
      <c r="G175" s="28">
        <f t="shared" si="5"/>
        <v>0</v>
      </c>
      <c r="H175" s="77"/>
    </row>
    <row r="176" spans="1:8" x14ac:dyDescent="0.25">
      <c r="A176" s="20"/>
      <c r="B176" s="52"/>
      <c r="C176" s="51"/>
      <c r="D176" s="24"/>
      <c r="E176" s="24"/>
      <c r="F176" s="23"/>
      <c r="G176" s="22">
        <f t="shared" si="5"/>
        <v>0</v>
      </c>
      <c r="H176" s="81"/>
    </row>
    <row r="177" spans="1:8" x14ac:dyDescent="0.25">
      <c r="A177" s="20"/>
      <c r="B177" s="52"/>
      <c r="C177" s="61"/>
      <c r="D177" s="30"/>
      <c r="E177" s="30"/>
      <c r="F177" s="29"/>
      <c r="G177" s="28">
        <f t="shared" si="4"/>
        <v>0</v>
      </c>
      <c r="H177" s="77"/>
    </row>
    <row r="178" spans="1:8" x14ac:dyDescent="0.25">
      <c r="A178" s="20"/>
      <c r="B178" s="52"/>
      <c r="C178" s="51"/>
      <c r="D178" s="24"/>
      <c r="E178" s="24"/>
      <c r="F178" s="23"/>
      <c r="G178" s="22">
        <f t="shared" si="4"/>
        <v>0</v>
      </c>
      <c r="H178" s="81"/>
    </row>
    <row r="179" spans="1:8" x14ac:dyDescent="0.25">
      <c r="A179" s="20"/>
      <c r="B179" s="52"/>
      <c r="C179" s="61"/>
      <c r="D179" s="30"/>
      <c r="E179" s="30"/>
      <c r="F179" s="29"/>
      <c r="G179" s="28">
        <f t="shared" si="4"/>
        <v>0</v>
      </c>
      <c r="H179" s="77"/>
    </row>
    <row r="180" spans="1:8" x14ac:dyDescent="0.25">
      <c r="A180" s="20"/>
      <c r="B180" s="52"/>
      <c r="C180" s="51"/>
      <c r="D180" s="24"/>
      <c r="E180" s="24"/>
      <c r="F180" s="23"/>
      <c r="G180" s="22">
        <f t="shared" si="4"/>
        <v>0</v>
      </c>
      <c r="H180" s="81"/>
    </row>
    <row r="181" spans="1:8" x14ac:dyDescent="0.25">
      <c r="A181" s="20"/>
      <c r="B181" s="52"/>
      <c r="C181" s="61"/>
      <c r="D181" s="30"/>
      <c r="E181" s="30"/>
      <c r="F181" s="29"/>
      <c r="G181" s="28">
        <f t="shared" si="4"/>
        <v>0</v>
      </c>
      <c r="H181" s="77"/>
    </row>
    <row r="182" spans="1:8" x14ac:dyDescent="0.25">
      <c r="A182" s="20"/>
      <c r="B182" s="52"/>
      <c r="C182" s="51"/>
      <c r="D182" s="24"/>
      <c r="E182" s="24"/>
      <c r="F182" s="23"/>
      <c r="G182" s="22">
        <f t="shared" si="4"/>
        <v>0</v>
      </c>
      <c r="H182" s="81"/>
    </row>
    <row r="183" spans="1:8" x14ac:dyDescent="0.25">
      <c r="A183" s="20"/>
      <c r="B183" s="52"/>
      <c r="C183" s="61"/>
      <c r="D183" s="30"/>
      <c r="E183" s="30"/>
      <c r="F183" s="29"/>
      <c r="G183" s="28">
        <f t="shared" si="4"/>
        <v>0</v>
      </c>
      <c r="H183" s="77"/>
    </row>
    <row r="184" spans="1:8" x14ac:dyDescent="0.25">
      <c r="A184" s="20"/>
      <c r="B184" s="52"/>
      <c r="C184" s="51"/>
      <c r="D184" s="24"/>
      <c r="E184" s="24"/>
      <c r="F184" s="23"/>
      <c r="G184" s="22">
        <f t="shared" si="4"/>
        <v>0</v>
      </c>
      <c r="H184" s="81"/>
    </row>
    <row r="185" spans="1:8" x14ac:dyDescent="0.25">
      <c r="A185" s="20"/>
      <c r="B185" s="52"/>
      <c r="C185" s="61"/>
      <c r="D185" s="30"/>
      <c r="E185" s="30"/>
      <c r="F185" s="29"/>
      <c r="G185" s="28">
        <f t="shared" si="4"/>
        <v>0</v>
      </c>
      <c r="H185" s="77"/>
    </row>
    <row r="186" spans="1:8" x14ac:dyDescent="0.25">
      <c r="A186" s="20"/>
      <c r="B186" s="52"/>
      <c r="C186" s="51"/>
      <c r="D186" s="66"/>
      <c r="E186" s="66"/>
      <c r="F186" s="23"/>
      <c r="G186" s="22">
        <f t="shared" si="4"/>
        <v>0</v>
      </c>
      <c r="H186" s="81"/>
    </row>
    <row r="187" spans="1:8" ht="15.75" thickBot="1" x14ac:dyDescent="0.3">
      <c r="A187" s="20"/>
      <c r="B187" s="52"/>
      <c r="C187" s="53"/>
      <c r="D187" s="88"/>
      <c r="E187" s="88"/>
      <c r="F187" s="29"/>
      <c r="G187" s="28">
        <f t="shared" si="4"/>
        <v>0</v>
      </c>
      <c r="H187" s="77"/>
    </row>
    <row r="188" spans="1:8" x14ac:dyDescent="0.25">
      <c r="A188" s="20"/>
      <c r="B188" s="73" t="s">
        <v>136</v>
      </c>
      <c r="C188" s="101" t="s">
        <v>127</v>
      </c>
      <c r="D188" s="47"/>
      <c r="E188" s="47" t="s">
        <v>4</v>
      </c>
      <c r="F188" s="46">
        <f>'[1]Valores ESTEC'!G88/2</f>
        <v>2061.25</v>
      </c>
      <c r="G188" s="45">
        <f>F188*D188</f>
        <v>0</v>
      </c>
      <c r="H188" s="86"/>
    </row>
    <row r="189" spans="1:8" x14ac:dyDescent="0.25">
      <c r="A189" s="20"/>
      <c r="B189" s="52"/>
      <c r="C189" s="69" t="s">
        <v>125</v>
      </c>
      <c r="D189" s="24"/>
      <c r="E189" s="24" t="s">
        <v>0</v>
      </c>
      <c r="F189" s="23">
        <f>'[1]Valores ESTEC'!G90</f>
        <v>452.5</v>
      </c>
      <c r="G189" s="22">
        <f>F189*D189</f>
        <v>0</v>
      </c>
      <c r="H189" s="81"/>
    </row>
    <row r="190" spans="1:8" x14ac:dyDescent="0.25">
      <c r="A190" s="20"/>
      <c r="B190" s="52"/>
      <c r="C190" s="70" t="s">
        <v>128</v>
      </c>
      <c r="D190" s="30"/>
      <c r="E190" s="30" t="s">
        <v>0</v>
      </c>
      <c r="F190" s="29">
        <f>'[1]Valores ESTEC'!G89</f>
        <v>530</v>
      </c>
      <c r="G190" s="28">
        <f>F190*D190</f>
        <v>0</v>
      </c>
      <c r="H190" s="77"/>
    </row>
    <row r="191" spans="1:8" x14ac:dyDescent="0.25">
      <c r="A191" s="20"/>
      <c r="B191" s="52"/>
      <c r="C191" s="69" t="s">
        <v>126</v>
      </c>
      <c r="D191" s="24"/>
      <c r="E191" s="24" t="s">
        <v>0</v>
      </c>
      <c r="F191" s="23">
        <f>'[1]Valores ESTEC'!G91</f>
        <v>636.25</v>
      </c>
      <c r="G191" s="22">
        <f>F191*D191</f>
        <v>0</v>
      </c>
      <c r="H191" s="81"/>
    </row>
    <row r="192" spans="1:8" x14ac:dyDescent="0.25">
      <c r="A192" s="20"/>
      <c r="B192" s="52"/>
      <c r="C192" s="70" t="s">
        <v>124</v>
      </c>
      <c r="D192" s="30"/>
      <c r="E192" s="30" t="s">
        <v>0</v>
      </c>
      <c r="F192" s="29">
        <f>'[1]Valores ESTEC'!G93</f>
        <v>518.75</v>
      </c>
      <c r="G192" s="28">
        <f>F192*D192</f>
        <v>0</v>
      </c>
      <c r="H192" s="77"/>
    </row>
    <row r="193" spans="1:8" x14ac:dyDescent="0.25">
      <c r="A193" s="20"/>
      <c r="B193" s="52"/>
      <c r="C193" s="69" t="s">
        <v>236</v>
      </c>
      <c r="D193" s="24"/>
      <c r="E193" s="24" t="s">
        <v>0</v>
      </c>
      <c r="F193" s="23">
        <f>'[1]Valores ESTEC'!G92</f>
        <v>730</v>
      </c>
      <c r="G193" s="22">
        <f>F193*D193</f>
        <v>0</v>
      </c>
      <c r="H193" s="81"/>
    </row>
    <row r="194" spans="1:8" x14ac:dyDescent="0.25">
      <c r="A194" s="20"/>
      <c r="B194" s="52"/>
      <c r="C194" s="70" t="s">
        <v>237</v>
      </c>
      <c r="D194" s="30"/>
      <c r="E194" s="30" t="s">
        <v>4</v>
      </c>
      <c r="F194" s="29">
        <f>'[1]Valores ESTEC'!G83/2</f>
        <v>7497.5</v>
      </c>
      <c r="G194" s="28">
        <f>F194*D194</f>
        <v>0</v>
      </c>
      <c r="H194" s="77"/>
    </row>
    <row r="195" spans="1:8" x14ac:dyDescent="0.25">
      <c r="A195" s="20"/>
      <c r="B195" s="52"/>
      <c r="C195" s="69" t="s">
        <v>238</v>
      </c>
      <c r="D195" s="24"/>
      <c r="E195" s="24" t="s">
        <v>0</v>
      </c>
      <c r="F195" s="23">
        <f>'[1]Valores ESTEC'!G81</f>
        <v>2780</v>
      </c>
      <c r="G195" s="22">
        <f>F195*D195</f>
        <v>0</v>
      </c>
      <c r="H195" s="81"/>
    </row>
    <row r="196" spans="1:8" x14ac:dyDescent="0.25">
      <c r="A196" s="20"/>
      <c r="B196" s="52"/>
      <c r="C196" s="70" t="s">
        <v>239</v>
      </c>
      <c r="D196" s="30"/>
      <c r="E196" s="30" t="s">
        <v>0</v>
      </c>
      <c r="F196" s="29">
        <f>'[1]Valores ESTEC'!G80</f>
        <v>5527.5</v>
      </c>
      <c r="G196" s="28">
        <f>F196*D196</f>
        <v>0</v>
      </c>
      <c r="H196" s="77"/>
    </row>
    <row r="197" spans="1:8" x14ac:dyDescent="0.25">
      <c r="A197" s="20"/>
      <c r="B197" s="52"/>
      <c r="C197" s="69" t="s">
        <v>240</v>
      </c>
      <c r="D197" s="24"/>
      <c r="E197" s="24" t="s">
        <v>0</v>
      </c>
      <c r="F197" s="23">
        <f>'[1]Valores ESTEC'!G82</f>
        <v>4452.5</v>
      </c>
      <c r="G197" s="22">
        <f>F197*D197</f>
        <v>0</v>
      </c>
      <c r="H197" s="81"/>
    </row>
    <row r="198" spans="1:8" x14ac:dyDescent="0.25">
      <c r="A198" s="20"/>
      <c r="B198" s="52"/>
      <c r="C198" s="70" t="s">
        <v>241</v>
      </c>
      <c r="D198" s="30"/>
      <c r="E198" s="30" t="s">
        <v>0</v>
      </c>
      <c r="F198" s="29">
        <f>'[1]Valores ESTEC'!G86</f>
        <v>2108.75</v>
      </c>
      <c r="G198" s="28">
        <f>F198*D198</f>
        <v>0</v>
      </c>
      <c r="H198" s="77"/>
    </row>
    <row r="199" spans="1:8" x14ac:dyDescent="0.25">
      <c r="A199" s="20"/>
      <c r="B199" s="52"/>
      <c r="C199" s="69" t="s">
        <v>242</v>
      </c>
      <c r="D199" s="24"/>
      <c r="E199" s="24" t="s">
        <v>0</v>
      </c>
      <c r="F199" s="23">
        <f>'[1]Valores ESTEC'!G84</f>
        <v>4873.75</v>
      </c>
      <c r="G199" s="22">
        <f>F199*D199</f>
        <v>0</v>
      </c>
      <c r="H199" s="81"/>
    </row>
    <row r="200" spans="1:8" x14ac:dyDescent="0.25">
      <c r="A200" s="20"/>
      <c r="B200" s="52"/>
      <c r="C200" s="70" t="s">
        <v>243</v>
      </c>
      <c r="D200" s="30"/>
      <c r="E200" s="30" t="s">
        <v>0</v>
      </c>
      <c r="F200" s="29">
        <f>'[1]Valores ESTEC'!G87</f>
        <v>898.75</v>
      </c>
      <c r="G200" s="28">
        <f>F200*D200</f>
        <v>0</v>
      </c>
      <c r="H200" s="77"/>
    </row>
    <row r="201" spans="1:8" x14ac:dyDescent="0.25">
      <c r="A201" s="20"/>
      <c r="B201" s="52"/>
      <c r="C201" s="69" t="s">
        <v>133</v>
      </c>
      <c r="D201" s="24"/>
      <c r="E201" s="24" t="s">
        <v>0</v>
      </c>
      <c r="F201" s="23">
        <v>1355</v>
      </c>
      <c r="G201" s="22">
        <f>F201*D201</f>
        <v>0</v>
      </c>
      <c r="H201" s="81"/>
    </row>
    <row r="202" spans="1:8" x14ac:dyDescent="0.25">
      <c r="A202" s="20"/>
      <c r="B202" s="52"/>
      <c r="C202" s="70" t="s">
        <v>131</v>
      </c>
      <c r="D202" s="30"/>
      <c r="E202" s="30" t="s">
        <v>122</v>
      </c>
      <c r="F202" s="29">
        <f>'[1]Valores ESTEC'!G85</f>
        <v>3203.75</v>
      </c>
      <c r="G202" s="28">
        <f>F202*D202</f>
        <v>0</v>
      </c>
      <c r="H202" s="77"/>
    </row>
    <row r="203" spans="1:8" x14ac:dyDescent="0.25">
      <c r="A203" s="20"/>
      <c r="B203" s="52"/>
      <c r="C203" s="69" t="s">
        <v>134</v>
      </c>
      <c r="D203" s="24"/>
      <c r="E203" s="24" t="s">
        <v>121</v>
      </c>
      <c r="F203" s="23">
        <f>'[1]Valores ESTEC'!G398</f>
        <v>36403.75</v>
      </c>
      <c r="G203" s="22">
        <f>F203*D203</f>
        <v>0</v>
      </c>
      <c r="H203" s="81"/>
    </row>
    <row r="204" spans="1:8" x14ac:dyDescent="0.25">
      <c r="A204" s="20"/>
      <c r="B204" s="52"/>
      <c r="C204" s="70" t="s">
        <v>132</v>
      </c>
      <c r="D204" s="30"/>
      <c r="E204" s="30" t="s">
        <v>121</v>
      </c>
      <c r="F204" s="29">
        <f>'[1]Valores ESTEC'!G399</f>
        <v>16260</v>
      </c>
      <c r="G204" s="28">
        <f>F204*D204</f>
        <v>0</v>
      </c>
      <c r="H204" s="77"/>
    </row>
    <row r="205" spans="1:8" x14ac:dyDescent="0.25">
      <c r="A205" s="20"/>
      <c r="B205" s="52"/>
      <c r="C205" s="69" t="s">
        <v>130</v>
      </c>
      <c r="D205" s="24"/>
      <c r="E205" s="24" t="s">
        <v>0</v>
      </c>
      <c r="F205" s="23">
        <f>'[1]Valores ESTEC'!G400</f>
        <v>20707.5</v>
      </c>
      <c r="G205" s="22">
        <f>F205*D205</f>
        <v>0</v>
      </c>
      <c r="H205" s="81"/>
    </row>
    <row r="206" spans="1:8" x14ac:dyDescent="0.25">
      <c r="A206" s="20"/>
      <c r="B206" s="52"/>
      <c r="C206" s="70" t="s">
        <v>129</v>
      </c>
      <c r="D206" s="30"/>
      <c r="E206" s="30" t="s">
        <v>0</v>
      </c>
      <c r="F206" s="29">
        <f>'[1]Valores ESTEC'!G401</f>
        <v>15217.5</v>
      </c>
      <c r="G206" s="28">
        <f>F206*D206</f>
        <v>0</v>
      </c>
      <c r="H206" s="77"/>
    </row>
    <row r="207" spans="1:8" x14ac:dyDescent="0.25">
      <c r="A207" s="20"/>
      <c r="B207" s="52"/>
      <c r="C207" s="69" t="s">
        <v>244</v>
      </c>
      <c r="D207" s="24"/>
      <c r="E207" s="24" t="s">
        <v>0</v>
      </c>
      <c r="F207" s="23">
        <f>'[1]Valores ESTEC'!G402</f>
        <v>24407.5</v>
      </c>
      <c r="G207" s="22">
        <f>F207*D207</f>
        <v>0</v>
      </c>
      <c r="H207" s="81"/>
    </row>
    <row r="208" spans="1:8" x14ac:dyDescent="0.25">
      <c r="A208" s="20"/>
      <c r="B208" s="52"/>
      <c r="C208" s="70" t="s">
        <v>135</v>
      </c>
      <c r="D208" s="30"/>
      <c r="E208" s="30" t="s">
        <v>0</v>
      </c>
      <c r="F208" s="29">
        <f>'[1]Valores ESTEC'!G403</f>
        <v>30453.75</v>
      </c>
      <c r="G208" s="28">
        <f>F208*D208</f>
        <v>0</v>
      </c>
      <c r="H208" s="77"/>
    </row>
    <row r="209" spans="1:8" x14ac:dyDescent="0.25">
      <c r="A209" s="20"/>
      <c r="B209" s="52"/>
      <c r="C209" s="69" t="s">
        <v>245</v>
      </c>
      <c r="D209" s="24"/>
      <c r="E209" s="24" t="s">
        <v>0</v>
      </c>
      <c r="F209" s="23">
        <f>'[1]Valores ESTEC'!G404</f>
        <v>1798.75</v>
      </c>
      <c r="G209" s="22">
        <f>F209*D209</f>
        <v>0</v>
      </c>
      <c r="H209" s="81"/>
    </row>
    <row r="210" spans="1:8" x14ac:dyDescent="0.25">
      <c r="A210" s="20"/>
      <c r="B210" s="52"/>
      <c r="C210" s="70" t="s">
        <v>246</v>
      </c>
      <c r="D210" s="30"/>
      <c r="E210" s="30" t="s">
        <v>0</v>
      </c>
      <c r="F210" s="29">
        <f>'[1]Valores ESTEC'!G405</f>
        <v>3396.25</v>
      </c>
      <c r="G210" s="28">
        <f>F210*D210</f>
        <v>0</v>
      </c>
      <c r="H210" s="77"/>
    </row>
    <row r="211" spans="1:8" x14ac:dyDescent="0.25">
      <c r="A211" s="20"/>
      <c r="B211" s="52"/>
      <c r="C211" s="69" t="s">
        <v>247</v>
      </c>
      <c r="D211" s="24"/>
      <c r="E211" s="24" t="s">
        <v>0</v>
      </c>
      <c r="F211" s="23">
        <f>'[1]Valores ESTEC'!G406</f>
        <v>3856.25</v>
      </c>
      <c r="G211" s="22">
        <f>F211*D211</f>
        <v>0</v>
      </c>
      <c r="H211" s="81"/>
    </row>
    <row r="212" spans="1:8" x14ac:dyDescent="0.25">
      <c r="A212" s="20"/>
      <c r="B212" s="52"/>
      <c r="C212" s="70" t="s">
        <v>248</v>
      </c>
      <c r="D212" s="30"/>
      <c r="E212" s="30" t="s">
        <v>0</v>
      </c>
      <c r="F212" s="29">
        <f>'[1]Valores ESTEC'!G407</f>
        <v>5976.25</v>
      </c>
      <c r="G212" s="28">
        <f>F212*D212</f>
        <v>0</v>
      </c>
      <c r="H212" s="77"/>
    </row>
    <row r="213" spans="1:8" x14ac:dyDescent="0.25">
      <c r="A213" s="20"/>
      <c r="B213" s="52"/>
      <c r="C213" s="69" t="s">
        <v>249</v>
      </c>
      <c r="D213" s="24"/>
      <c r="E213" s="24" t="s">
        <v>0</v>
      </c>
      <c r="F213" s="23">
        <f>'[1]Valores ESTEC'!G408</f>
        <v>9268.75</v>
      </c>
      <c r="G213" s="22">
        <f>F213*D213</f>
        <v>0</v>
      </c>
      <c r="H213" s="81"/>
    </row>
    <row r="214" spans="1:8" x14ac:dyDescent="0.25">
      <c r="A214" s="20"/>
      <c r="B214" s="52"/>
      <c r="C214" s="70" t="s">
        <v>250</v>
      </c>
      <c r="D214" s="30"/>
      <c r="E214" s="30" t="s">
        <v>121</v>
      </c>
      <c r="F214" s="29">
        <f>'[1]Valores ESTEC'!G409</f>
        <v>20846.25</v>
      </c>
      <c r="G214" s="28">
        <f>F214*D214</f>
        <v>0</v>
      </c>
      <c r="H214" s="77"/>
    </row>
    <row r="215" spans="1:8" x14ac:dyDescent="0.25">
      <c r="A215" s="20"/>
      <c r="B215" s="52"/>
      <c r="C215" s="69" t="s">
        <v>251</v>
      </c>
      <c r="D215" s="24"/>
      <c r="E215" s="24" t="s">
        <v>0</v>
      </c>
      <c r="F215" s="23">
        <f>'[1]Valores ESTEC'!G410</f>
        <v>4603.75</v>
      </c>
      <c r="G215" s="22">
        <f>F215*D215</f>
        <v>0</v>
      </c>
      <c r="H215" s="81"/>
    </row>
    <row r="216" spans="1:8" x14ac:dyDescent="0.25">
      <c r="A216" s="20"/>
      <c r="B216" s="52"/>
      <c r="C216" s="70" t="s">
        <v>252</v>
      </c>
      <c r="D216" s="30"/>
      <c r="E216" s="30" t="s">
        <v>121</v>
      </c>
      <c r="F216" s="29">
        <f>'[1]Valores ESTEC'!G411</f>
        <v>5583.75</v>
      </c>
      <c r="G216" s="28">
        <f>F216*D216</f>
        <v>0</v>
      </c>
      <c r="H216" s="77"/>
    </row>
    <row r="217" spans="1:8" x14ac:dyDescent="0.25">
      <c r="A217" s="20"/>
      <c r="B217" s="52"/>
      <c r="C217" s="69" t="s">
        <v>253</v>
      </c>
      <c r="D217" s="24"/>
      <c r="E217" s="24" t="s">
        <v>0</v>
      </c>
      <c r="F217" s="23"/>
      <c r="G217" s="22">
        <f>F217*D217</f>
        <v>0</v>
      </c>
      <c r="H217" s="81"/>
    </row>
    <row r="218" spans="1:8" x14ac:dyDescent="0.25">
      <c r="A218" s="20"/>
      <c r="B218" s="52"/>
      <c r="C218" s="70" t="s">
        <v>254</v>
      </c>
      <c r="D218" s="30"/>
      <c r="E218" s="30" t="s">
        <v>0</v>
      </c>
      <c r="F218" s="29">
        <f>'[1]Valores ESTEC'!G205</f>
        <v>3798.75</v>
      </c>
      <c r="G218" s="28">
        <f>F218*D218</f>
        <v>0</v>
      </c>
      <c r="H218" s="77"/>
    </row>
    <row r="219" spans="1:8" x14ac:dyDescent="0.25">
      <c r="A219" s="20"/>
      <c r="B219" s="52"/>
      <c r="C219" s="69" t="s">
        <v>255</v>
      </c>
      <c r="D219" s="24"/>
      <c r="E219" s="24"/>
      <c r="F219" s="23"/>
      <c r="G219" s="22">
        <f t="shared" ref="G219:G236" si="6">F219*D219</f>
        <v>0</v>
      </c>
      <c r="H219" s="81"/>
    </row>
    <row r="220" spans="1:8" x14ac:dyDescent="0.25">
      <c r="A220" s="20"/>
      <c r="B220" s="52"/>
      <c r="C220" s="70" t="s">
        <v>256</v>
      </c>
      <c r="D220" s="30"/>
      <c r="E220" s="30"/>
      <c r="F220" s="29"/>
      <c r="G220" s="28">
        <f t="shared" si="6"/>
        <v>0</v>
      </c>
      <c r="H220" s="77"/>
    </row>
    <row r="221" spans="1:8" x14ac:dyDescent="0.25">
      <c r="A221" s="20"/>
      <c r="B221" s="52"/>
      <c r="C221" s="69" t="s">
        <v>257</v>
      </c>
      <c r="D221" s="24"/>
      <c r="E221" s="24"/>
      <c r="F221" s="23"/>
      <c r="G221" s="22">
        <f t="shared" si="6"/>
        <v>0</v>
      </c>
      <c r="H221" s="81"/>
    </row>
    <row r="222" spans="1:8" x14ac:dyDescent="0.25">
      <c r="A222" s="20"/>
      <c r="B222" s="52"/>
      <c r="C222" s="70" t="s">
        <v>258</v>
      </c>
      <c r="D222" s="30"/>
      <c r="E222" s="30"/>
      <c r="F222" s="29"/>
      <c r="G222" s="28">
        <f t="shared" si="6"/>
        <v>0</v>
      </c>
      <c r="H222" s="77"/>
    </row>
    <row r="223" spans="1:8" x14ac:dyDescent="0.25">
      <c r="A223" s="20"/>
      <c r="B223" s="52"/>
      <c r="C223" s="69" t="s">
        <v>259</v>
      </c>
      <c r="D223" s="24"/>
      <c r="E223" s="24"/>
      <c r="F223" s="23"/>
      <c r="G223" s="22">
        <f t="shared" si="6"/>
        <v>0</v>
      </c>
      <c r="H223" s="81"/>
    </row>
    <row r="224" spans="1:8" x14ac:dyDescent="0.25">
      <c r="A224" s="20"/>
      <c r="B224" s="52"/>
      <c r="C224" s="70" t="s">
        <v>260</v>
      </c>
      <c r="D224" s="30"/>
      <c r="E224" s="30"/>
      <c r="F224" s="29"/>
      <c r="G224" s="28">
        <f t="shared" si="6"/>
        <v>0</v>
      </c>
      <c r="H224" s="77"/>
    </row>
    <row r="225" spans="1:8" x14ac:dyDescent="0.25">
      <c r="A225" s="20"/>
      <c r="B225" s="52"/>
      <c r="C225" s="69" t="s">
        <v>261</v>
      </c>
      <c r="D225" s="24"/>
      <c r="E225" s="24"/>
      <c r="F225" s="23"/>
      <c r="G225" s="22">
        <f t="shared" si="6"/>
        <v>0</v>
      </c>
      <c r="H225" s="81"/>
    </row>
    <row r="226" spans="1:8" x14ac:dyDescent="0.25">
      <c r="A226" s="20"/>
      <c r="B226" s="52"/>
      <c r="C226" s="70" t="s">
        <v>123</v>
      </c>
      <c r="D226" s="30"/>
      <c r="E226" s="30"/>
      <c r="F226" s="29"/>
      <c r="G226" s="28">
        <f t="shared" si="6"/>
        <v>0</v>
      </c>
      <c r="H226" s="77"/>
    </row>
    <row r="227" spans="1:8" x14ac:dyDescent="0.25">
      <c r="A227" s="20"/>
      <c r="B227" s="52"/>
      <c r="C227" s="69" t="s">
        <v>262</v>
      </c>
      <c r="D227" s="24"/>
      <c r="E227" s="24"/>
      <c r="F227" s="23"/>
      <c r="G227" s="22">
        <f t="shared" si="6"/>
        <v>0</v>
      </c>
      <c r="H227" s="81"/>
    </row>
    <row r="228" spans="1:8" x14ac:dyDescent="0.25">
      <c r="A228" s="20"/>
      <c r="B228" s="52"/>
      <c r="C228" s="61"/>
      <c r="D228" s="30"/>
      <c r="E228" s="30"/>
      <c r="F228" s="29"/>
      <c r="G228" s="28">
        <f t="shared" si="6"/>
        <v>0</v>
      </c>
      <c r="H228" s="77"/>
    </row>
    <row r="229" spans="1:8" x14ac:dyDescent="0.25">
      <c r="A229" s="20"/>
      <c r="B229" s="52"/>
      <c r="C229" s="51"/>
      <c r="D229" s="24"/>
      <c r="E229" s="24"/>
      <c r="F229" s="23"/>
      <c r="G229" s="22">
        <f t="shared" si="6"/>
        <v>0</v>
      </c>
      <c r="H229" s="81"/>
    </row>
    <row r="230" spans="1:8" x14ac:dyDescent="0.25">
      <c r="A230" s="20"/>
      <c r="B230" s="52"/>
      <c r="C230" s="61"/>
      <c r="D230" s="30"/>
      <c r="E230" s="30"/>
      <c r="F230" s="29"/>
      <c r="G230" s="28">
        <f t="shared" si="6"/>
        <v>0</v>
      </c>
      <c r="H230" s="77"/>
    </row>
    <row r="231" spans="1:8" x14ac:dyDescent="0.25">
      <c r="A231" s="20"/>
      <c r="B231" s="52"/>
      <c r="C231" s="51"/>
      <c r="D231" s="24"/>
      <c r="E231" s="24"/>
      <c r="F231" s="23"/>
      <c r="G231" s="22">
        <f t="shared" si="6"/>
        <v>0</v>
      </c>
      <c r="H231" s="81"/>
    </row>
    <row r="232" spans="1:8" x14ac:dyDescent="0.25">
      <c r="A232" s="20"/>
      <c r="B232" s="52"/>
      <c r="C232" s="61"/>
      <c r="D232" s="30"/>
      <c r="E232" s="30"/>
      <c r="F232" s="29"/>
      <c r="G232" s="28">
        <f t="shared" si="6"/>
        <v>0</v>
      </c>
      <c r="H232" s="77"/>
    </row>
    <row r="233" spans="1:8" x14ac:dyDescent="0.25">
      <c r="A233" s="20"/>
      <c r="B233" s="52"/>
      <c r="C233" s="51"/>
      <c r="D233" s="24"/>
      <c r="E233" s="24"/>
      <c r="F233" s="23"/>
      <c r="G233" s="22">
        <f t="shared" si="6"/>
        <v>0</v>
      </c>
      <c r="H233" s="81"/>
    </row>
    <row r="234" spans="1:8" x14ac:dyDescent="0.25">
      <c r="A234" s="20"/>
      <c r="B234" s="52"/>
      <c r="C234" s="61"/>
      <c r="D234" s="30"/>
      <c r="E234" s="30"/>
      <c r="F234" s="29"/>
      <c r="G234" s="28">
        <f t="shared" si="6"/>
        <v>0</v>
      </c>
      <c r="H234" s="77"/>
    </row>
    <row r="235" spans="1:8" ht="15" customHeight="1" x14ac:dyDescent="0.25">
      <c r="A235" s="20"/>
      <c r="B235" s="52"/>
      <c r="C235" s="51"/>
      <c r="D235" s="24"/>
      <c r="E235" s="24"/>
      <c r="F235" s="23"/>
      <c r="G235" s="22">
        <f t="shared" si="6"/>
        <v>0</v>
      </c>
      <c r="H235" s="81"/>
    </row>
    <row r="236" spans="1:8" ht="15.75" thickBot="1" x14ac:dyDescent="0.3">
      <c r="A236" s="20"/>
      <c r="B236" s="52"/>
      <c r="C236" s="61"/>
      <c r="D236" s="30"/>
      <c r="E236" s="30"/>
      <c r="F236" s="29"/>
      <c r="G236" s="28">
        <f t="shared" si="6"/>
        <v>0</v>
      </c>
      <c r="H236" s="77"/>
    </row>
    <row r="237" spans="1:8" x14ac:dyDescent="0.25">
      <c r="A237" s="20"/>
      <c r="B237" s="73" t="s">
        <v>120</v>
      </c>
      <c r="C237" s="101" t="s">
        <v>38</v>
      </c>
      <c r="D237" s="47"/>
      <c r="E237" s="47" t="s">
        <v>0</v>
      </c>
      <c r="F237" s="46">
        <f>'[1]Valores ESTEC'!G180</f>
        <v>559743.75</v>
      </c>
      <c r="G237" s="45">
        <f>F237*D237</f>
        <v>0</v>
      </c>
      <c r="H237" s="86"/>
    </row>
    <row r="238" spans="1:8" x14ac:dyDescent="0.25">
      <c r="A238" s="20"/>
      <c r="B238" s="52"/>
      <c r="C238" s="69" t="s">
        <v>49</v>
      </c>
      <c r="D238" s="24"/>
      <c r="E238" s="83" t="s">
        <v>0</v>
      </c>
      <c r="F238" s="82">
        <f>'[1]Valores ESTEC'!G181</f>
        <v>505137.5</v>
      </c>
      <c r="G238" s="22">
        <f>F238*D238</f>
        <v>0</v>
      </c>
      <c r="H238" s="81"/>
    </row>
    <row r="239" spans="1:8" x14ac:dyDescent="0.25">
      <c r="A239" s="20"/>
      <c r="B239" s="52"/>
      <c r="C239" s="70" t="s">
        <v>116</v>
      </c>
      <c r="D239" s="30"/>
      <c r="E239" s="85" t="s">
        <v>0</v>
      </c>
      <c r="F239" s="84">
        <f>'[1]Valores ESTEC'!G178</f>
        <v>668970</v>
      </c>
      <c r="G239" s="28">
        <f>F239*D239</f>
        <v>0</v>
      </c>
      <c r="H239" s="77"/>
    </row>
    <row r="240" spans="1:8" x14ac:dyDescent="0.25">
      <c r="A240" s="20"/>
      <c r="B240" s="52"/>
      <c r="C240" s="69" t="s">
        <v>117</v>
      </c>
      <c r="D240" s="24"/>
      <c r="E240" s="83" t="s">
        <v>0</v>
      </c>
      <c r="F240" s="82">
        <f>'[1]Valores ESTEC'!G179</f>
        <v>450530</v>
      </c>
      <c r="G240" s="22">
        <f>F240*D240</f>
        <v>0</v>
      </c>
      <c r="H240" s="81"/>
    </row>
    <row r="241" spans="1:8" x14ac:dyDescent="0.25">
      <c r="A241" s="20"/>
      <c r="B241" s="52"/>
      <c r="C241" s="70" t="s">
        <v>118</v>
      </c>
      <c r="D241" s="30"/>
      <c r="E241" s="85" t="s">
        <v>0</v>
      </c>
      <c r="F241" s="84">
        <f>'[1]Valores ESTEC'!G183</f>
        <v>860105</v>
      </c>
      <c r="G241" s="28">
        <f>F241*D241</f>
        <v>0</v>
      </c>
      <c r="H241" s="77"/>
    </row>
    <row r="242" spans="1:8" x14ac:dyDescent="0.25">
      <c r="A242" s="20"/>
      <c r="B242" s="52"/>
      <c r="C242" s="69" t="s">
        <v>119</v>
      </c>
      <c r="D242" s="24"/>
      <c r="E242" s="83" t="s">
        <v>0</v>
      </c>
      <c r="F242" s="82">
        <f>'[1]Valores ESTEC'!G184</f>
        <v>901060</v>
      </c>
      <c r="G242" s="22">
        <f>F242*D242</f>
        <v>0</v>
      </c>
      <c r="H242" s="81"/>
    </row>
    <row r="243" spans="1:8" x14ac:dyDescent="0.25">
      <c r="A243" s="20"/>
      <c r="B243" s="52"/>
      <c r="C243" s="70" t="s">
        <v>115</v>
      </c>
      <c r="D243" s="30"/>
      <c r="E243" s="85" t="s">
        <v>0</v>
      </c>
      <c r="F243" s="84">
        <f>'[1]Valores ESTEC'!G177</f>
        <v>341305</v>
      </c>
      <c r="G243" s="28">
        <f>F243*D243</f>
        <v>0</v>
      </c>
      <c r="H243" s="77"/>
    </row>
    <row r="244" spans="1:8" x14ac:dyDescent="0.25">
      <c r="A244" s="20"/>
      <c r="B244" s="52"/>
      <c r="C244" s="69" t="s">
        <v>263</v>
      </c>
      <c r="D244" s="24"/>
      <c r="E244" s="83" t="s">
        <v>0</v>
      </c>
      <c r="F244" s="82">
        <f>'[1]Valores ESTEC'!G176</f>
        <v>143348.75</v>
      </c>
      <c r="G244" s="22">
        <f>F244*D244</f>
        <v>0</v>
      </c>
      <c r="H244" s="81"/>
    </row>
    <row r="245" spans="1:8" x14ac:dyDescent="0.25">
      <c r="A245" s="20"/>
      <c r="B245" s="52"/>
      <c r="C245" s="70" t="s">
        <v>264</v>
      </c>
      <c r="D245" s="30"/>
      <c r="E245" s="85" t="s">
        <v>0</v>
      </c>
      <c r="F245" s="84">
        <f>'[1]Valores ESTEC'!G175</f>
        <v>129697.5</v>
      </c>
      <c r="G245" s="28">
        <f>F245*D245</f>
        <v>0</v>
      </c>
      <c r="H245" s="77"/>
    </row>
    <row r="246" spans="1:8" x14ac:dyDescent="0.25">
      <c r="A246" s="20"/>
      <c r="B246" s="52"/>
      <c r="C246" s="69" t="s">
        <v>265</v>
      </c>
      <c r="D246" s="24"/>
      <c r="E246" s="83" t="s">
        <v>0</v>
      </c>
      <c r="F246" s="82">
        <f>'[1]Valores ESTEC'!G174</f>
        <v>118778.75</v>
      </c>
      <c r="G246" s="22">
        <f>F246*D246</f>
        <v>0</v>
      </c>
      <c r="H246" s="81"/>
    </row>
    <row r="247" spans="1:8" x14ac:dyDescent="0.25">
      <c r="A247" s="20"/>
      <c r="B247" s="52"/>
      <c r="C247" s="70" t="s">
        <v>266</v>
      </c>
      <c r="D247" s="30"/>
      <c r="E247" s="85" t="s">
        <v>0</v>
      </c>
      <c r="F247" s="84">
        <f>'[1]Valores ESTEC'!G172</f>
        <v>99661.25</v>
      </c>
      <c r="G247" s="28">
        <f>F247*D247</f>
        <v>0</v>
      </c>
      <c r="H247" s="77"/>
    </row>
    <row r="248" spans="1:8" x14ac:dyDescent="0.25">
      <c r="A248" s="20"/>
      <c r="B248" s="52"/>
      <c r="C248" s="69" t="s">
        <v>267</v>
      </c>
      <c r="D248" s="24"/>
      <c r="E248" s="83" t="s">
        <v>0</v>
      </c>
      <c r="F248" s="82">
        <f>'[1]Valores ESTEC'!G170</f>
        <v>75090</v>
      </c>
      <c r="G248" s="22">
        <f>F248*D248</f>
        <v>0</v>
      </c>
      <c r="H248" s="81"/>
    </row>
    <row r="249" spans="1:8" x14ac:dyDescent="0.25">
      <c r="A249" s="20"/>
      <c r="B249" s="52"/>
      <c r="C249" s="70" t="s">
        <v>268</v>
      </c>
      <c r="D249" s="30"/>
      <c r="E249" s="85" t="s">
        <v>0</v>
      </c>
      <c r="F249" s="84">
        <f>'[1]Valores ESTEC'!G185</f>
        <v>1160455</v>
      </c>
      <c r="G249" s="28">
        <f>F249*D249</f>
        <v>0</v>
      </c>
      <c r="H249" s="77"/>
    </row>
    <row r="250" spans="1:8" x14ac:dyDescent="0.25">
      <c r="A250" s="20"/>
      <c r="B250" s="52"/>
      <c r="C250" s="69" t="s">
        <v>269</v>
      </c>
      <c r="D250" s="24"/>
      <c r="E250" s="83" t="s">
        <v>0</v>
      </c>
      <c r="F250" s="82">
        <f>'[1]Valores ESTEC'!G186</f>
        <v>368620</v>
      </c>
      <c r="G250" s="22">
        <f>F250*D250</f>
        <v>0</v>
      </c>
      <c r="H250" s="81"/>
    </row>
    <row r="251" spans="1:8" x14ac:dyDescent="0.25">
      <c r="A251" s="20"/>
      <c r="B251" s="52"/>
      <c r="C251" s="70" t="s">
        <v>270</v>
      </c>
      <c r="D251" s="30"/>
      <c r="E251" s="85" t="s">
        <v>0</v>
      </c>
      <c r="F251" s="84">
        <f>'[1]Valores ESTEC'!G189</f>
        <v>61438.75</v>
      </c>
      <c r="G251" s="28">
        <f>F251*D251</f>
        <v>0</v>
      </c>
      <c r="H251" s="77"/>
    </row>
    <row r="252" spans="1:8" x14ac:dyDescent="0.25">
      <c r="A252" s="20"/>
      <c r="B252" s="52"/>
      <c r="C252" s="69" t="s">
        <v>271</v>
      </c>
      <c r="D252" s="24"/>
      <c r="E252" s="83" t="s">
        <v>0</v>
      </c>
      <c r="F252" s="82">
        <f>'[1]Valores ESTEC'!G280</f>
        <v>10236.25</v>
      </c>
      <c r="G252" s="22">
        <f>F252*D252</f>
        <v>0</v>
      </c>
      <c r="H252" s="81"/>
    </row>
    <row r="253" spans="1:8" x14ac:dyDescent="0.25">
      <c r="A253" s="20"/>
      <c r="B253" s="52"/>
      <c r="C253" s="70" t="s">
        <v>272</v>
      </c>
      <c r="D253" s="30"/>
      <c r="E253" s="85" t="s">
        <v>0</v>
      </c>
      <c r="F253" s="84">
        <v>900</v>
      </c>
      <c r="G253" s="28">
        <f>F253*D253</f>
        <v>0</v>
      </c>
      <c r="H253" s="77"/>
    </row>
    <row r="254" spans="1:8" x14ac:dyDescent="0.25">
      <c r="A254" s="20"/>
      <c r="B254" s="52"/>
      <c r="C254" s="69" t="s">
        <v>273</v>
      </c>
      <c r="D254" s="24"/>
      <c r="E254" s="83" t="s">
        <v>0</v>
      </c>
      <c r="F254" s="82">
        <v>4500</v>
      </c>
      <c r="G254" s="22">
        <f t="shared" ref="G254:G271" si="7">F254*D254</f>
        <v>0</v>
      </c>
      <c r="H254" s="81"/>
    </row>
    <row r="255" spans="1:8" x14ac:dyDescent="0.25">
      <c r="A255" s="20"/>
      <c r="B255" s="52"/>
      <c r="C255" s="70" t="s">
        <v>274</v>
      </c>
      <c r="D255" s="30"/>
      <c r="E255" s="85" t="s">
        <v>0</v>
      </c>
      <c r="F255" s="84">
        <f>'[1]Valores ESTEC'!G394</f>
        <v>1232.5</v>
      </c>
      <c r="G255" s="28">
        <f t="shared" si="7"/>
        <v>0</v>
      </c>
      <c r="H255" s="77"/>
    </row>
    <row r="256" spans="1:8" x14ac:dyDescent="0.25">
      <c r="A256" s="20"/>
      <c r="B256" s="52"/>
      <c r="C256" s="69" t="s">
        <v>275</v>
      </c>
      <c r="D256" s="24"/>
      <c r="E256" s="83"/>
      <c r="F256" s="82"/>
      <c r="G256" s="22">
        <f t="shared" si="7"/>
        <v>0</v>
      </c>
      <c r="H256" s="81"/>
    </row>
    <row r="257" spans="1:8" x14ac:dyDescent="0.25">
      <c r="A257" s="20"/>
      <c r="B257" s="52"/>
      <c r="C257" s="70" t="s">
        <v>276</v>
      </c>
      <c r="D257" s="30"/>
      <c r="E257" s="85"/>
      <c r="F257" s="84"/>
      <c r="G257" s="28">
        <f t="shared" si="7"/>
        <v>0</v>
      </c>
      <c r="H257" s="77"/>
    </row>
    <row r="258" spans="1:8" x14ac:dyDescent="0.25">
      <c r="A258" s="20"/>
      <c r="B258" s="52"/>
      <c r="C258" s="69" t="s">
        <v>277</v>
      </c>
      <c r="D258" s="24"/>
      <c r="E258" s="83"/>
      <c r="F258" s="82"/>
      <c r="G258" s="22">
        <f t="shared" si="7"/>
        <v>0</v>
      </c>
      <c r="H258" s="81"/>
    </row>
    <row r="259" spans="1:8" x14ac:dyDescent="0.25">
      <c r="A259" s="20"/>
      <c r="B259" s="52"/>
      <c r="C259" s="70" t="s">
        <v>278</v>
      </c>
      <c r="D259" s="30"/>
      <c r="E259" s="85"/>
      <c r="F259" s="84"/>
      <c r="G259" s="28">
        <f t="shared" si="7"/>
        <v>0</v>
      </c>
      <c r="H259" s="77"/>
    </row>
    <row r="260" spans="1:8" x14ac:dyDescent="0.25">
      <c r="A260" s="20"/>
      <c r="B260" s="52"/>
      <c r="C260" s="69" t="s">
        <v>279</v>
      </c>
      <c r="D260" s="24"/>
      <c r="E260" s="83"/>
      <c r="F260" s="82"/>
      <c r="G260" s="22">
        <f t="shared" si="7"/>
        <v>0</v>
      </c>
      <c r="H260" s="81"/>
    </row>
    <row r="261" spans="1:8" x14ac:dyDescent="0.25">
      <c r="A261" s="20"/>
      <c r="B261" s="52"/>
      <c r="C261" s="70" t="s">
        <v>280</v>
      </c>
      <c r="D261" s="30"/>
      <c r="E261" s="85"/>
      <c r="F261" s="84"/>
      <c r="G261" s="28">
        <f t="shared" si="7"/>
        <v>0</v>
      </c>
      <c r="H261" s="77"/>
    </row>
    <row r="262" spans="1:8" x14ac:dyDescent="0.25">
      <c r="A262" s="20"/>
      <c r="B262" s="52"/>
      <c r="C262" s="69" t="s">
        <v>281</v>
      </c>
      <c r="D262" s="24"/>
      <c r="E262" s="83"/>
      <c r="F262" s="82"/>
      <c r="G262" s="22">
        <f t="shared" si="7"/>
        <v>0</v>
      </c>
      <c r="H262" s="81"/>
    </row>
    <row r="263" spans="1:8" x14ac:dyDescent="0.25">
      <c r="A263" s="20"/>
      <c r="B263" s="52"/>
      <c r="C263" s="70" t="s">
        <v>282</v>
      </c>
      <c r="D263" s="30"/>
      <c r="E263" s="85"/>
      <c r="F263" s="84"/>
      <c r="G263" s="28">
        <f t="shared" si="7"/>
        <v>0</v>
      </c>
      <c r="H263" s="77"/>
    </row>
    <row r="264" spans="1:8" x14ac:dyDescent="0.25">
      <c r="A264" s="20"/>
      <c r="B264" s="52"/>
      <c r="C264" s="69" t="s">
        <v>283</v>
      </c>
      <c r="D264" s="24"/>
      <c r="E264" s="83"/>
      <c r="F264" s="82"/>
      <c r="G264" s="22">
        <f t="shared" si="7"/>
        <v>0</v>
      </c>
      <c r="H264" s="81"/>
    </row>
    <row r="265" spans="1:8" x14ac:dyDescent="0.25">
      <c r="A265" s="20"/>
      <c r="B265" s="52"/>
      <c r="C265" s="70" t="s">
        <v>284</v>
      </c>
      <c r="D265" s="30"/>
      <c r="E265" s="85"/>
      <c r="F265" s="84"/>
      <c r="G265" s="28">
        <f t="shared" si="7"/>
        <v>0</v>
      </c>
      <c r="H265" s="77"/>
    </row>
    <row r="266" spans="1:8" x14ac:dyDescent="0.25">
      <c r="A266" s="20"/>
      <c r="B266" s="52"/>
      <c r="C266" s="69" t="s">
        <v>285</v>
      </c>
      <c r="D266" s="24"/>
      <c r="E266" s="83"/>
      <c r="F266" s="82"/>
      <c r="G266" s="22">
        <f t="shared" si="7"/>
        <v>0</v>
      </c>
      <c r="H266" s="81"/>
    </row>
    <row r="267" spans="1:8" x14ac:dyDescent="0.25">
      <c r="A267" s="20"/>
      <c r="B267" s="52"/>
      <c r="C267" s="70" t="s">
        <v>286</v>
      </c>
      <c r="D267" s="30"/>
      <c r="E267" s="85"/>
      <c r="F267" s="84"/>
      <c r="G267" s="28">
        <f t="shared" si="7"/>
        <v>0</v>
      </c>
      <c r="H267" s="77"/>
    </row>
    <row r="268" spans="1:8" x14ac:dyDescent="0.25">
      <c r="A268" s="20"/>
      <c r="B268" s="52"/>
      <c r="C268" s="69" t="s">
        <v>287</v>
      </c>
      <c r="D268" s="24"/>
      <c r="E268" s="83"/>
      <c r="F268" s="82"/>
      <c r="G268" s="22">
        <f t="shared" si="7"/>
        <v>0</v>
      </c>
      <c r="H268" s="81"/>
    </row>
    <row r="269" spans="1:8" x14ac:dyDescent="0.25">
      <c r="A269" s="20"/>
      <c r="B269" s="52"/>
      <c r="C269" s="70"/>
      <c r="D269" s="30"/>
      <c r="E269" s="85"/>
      <c r="F269" s="84"/>
      <c r="G269" s="28">
        <f t="shared" si="7"/>
        <v>0</v>
      </c>
      <c r="H269" s="77"/>
    </row>
    <row r="270" spans="1:8" x14ac:dyDescent="0.25">
      <c r="A270" s="20"/>
      <c r="B270" s="52"/>
      <c r="C270" s="62"/>
      <c r="D270" s="24"/>
      <c r="E270" s="83"/>
      <c r="F270" s="82"/>
      <c r="G270" s="22">
        <f t="shared" si="7"/>
        <v>0</v>
      </c>
      <c r="H270" s="81"/>
    </row>
    <row r="271" spans="1:8" ht="15.75" thickBot="1" x14ac:dyDescent="0.3">
      <c r="A271" s="20"/>
      <c r="B271" s="75"/>
      <c r="C271" s="80"/>
      <c r="D271" s="79"/>
      <c r="E271" s="78"/>
      <c r="F271" s="74"/>
      <c r="G271" s="28">
        <f t="shared" si="7"/>
        <v>0</v>
      </c>
      <c r="H271" s="77"/>
    </row>
    <row r="272" spans="1:8" x14ac:dyDescent="0.25">
      <c r="A272" s="20"/>
      <c r="B272" s="73" t="s">
        <v>114</v>
      </c>
      <c r="C272" s="102" t="s">
        <v>288</v>
      </c>
      <c r="D272" s="76"/>
      <c r="E272" s="76" t="s">
        <v>0</v>
      </c>
      <c r="F272" s="34">
        <v>6378</v>
      </c>
      <c r="G272" s="33">
        <f>F272*D272</f>
        <v>0</v>
      </c>
      <c r="H272" s="32"/>
    </row>
    <row r="273" spans="1:8" x14ac:dyDescent="0.25">
      <c r="A273" s="20"/>
      <c r="B273" s="52"/>
      <c r="C273" s="70" t="s">
        <v>289</v>
      </c>
      <c r="D273" s="68"/>
      <c r="E273" s="68" t="s">
        <v>111</v>
      </c>
      <c r="F273" s="29">
        <v>1200</v>
      </c>
      <c r="G273" s="28">
        <f>F273*D273</f>
        <v>0</v>
      </c>
      <c r="H273" s="27"/>
    </row>
    <row r="274" spans="1:8" x14ac:dyDescent="0.25">
      <c r="A274" s="20"/>
      <c r="B274" s="52"/>
      <c r="C274" s="69" t="s">
        <v>290</v>
      </c>
      <c r="D274" s="66"/>
      <c r="E274" s="66" t="s">
        <v>0</v>
      </c>
      <c r="F274" s="23">
        <v>1933</v>
      </c>
      <c r="G274" s="22">
        <f>F274*D274</f>
        <v>0</v>
      </c>
      <c r="H274" s="42"/>
    </row>
    <row r="275" spans="1:8" x14ac:dyDescent="0.25">
      <c r="A275" s="20"/>
      <c r="B275" s="52"/>
      <c r="C275" s="70" t="s">
        <v>113</v>
      </c>
      <c r="D275" s="68"/>
      <c r="E275" s="68" t="s">
        <v>0</v>
      </c>
      <c r="F275" s="29">
        <f>'[1]Valores ESTEC'!G331</f>
        <v>2002.5</v>
      </c>
      <c r="G275" s="28">
        <f>F275*D275</f>
        <v>0</v>
      </c>
      <c r="H275" s="27"/>
    </row>
    <row r="276" spans="1:8" x14ac:dyDescent="0.25">
      <c r="A276" s="20"/>
      <c r="B276" s="52"/>
      <c r="C276" s="69" t="s">
        <v>291</v>
      </c>
      <c r="D276" s="66"/>
      <c r="E276" s="66" t="s">
        <v>0</v>
      </c>
      <c r="F276" s="23">
        <f>'[1]Valores ESTEC'!G48</f>
        <v>5488.75</v>
      </c>
      <c r="G276" s="22">
        <f t="shared" ref="G276:G337" si="8">F276*D276</f>
        <v>0</v>
      </c>
      <c r="H276" s="42"/>
    </row>
    <row r="277" spans="1:8" x14ac:dyDescent="0.25">
      <c r="A277" s="20"/>
      <c r="B277" s="52"/>
      <c r="C277" s="70" t="s">
        <v>292</v>
      </c>
      <c r="D277" s="68"/>
      <c r="E277" s="68" t="s">
        <v>0</v>
      </c>
      <c r="F277" s="29">
        <f>F275</f>
        <v>2002.5</v>
      </c>
      <c r="G277" s="28">
        <f t="shared" si="8"/>
        <v>0</v>
      </c>
      <c r="H277" s="27"/>
    </row>
    <row r="278" spans="1:8" x14ac:dyDescent="0.25">
      <c r="A278" s="20"/>
      <c r="B278" s="52"/>
      <c r="C278" s="69" t="s">
        <v>293</v>
      </c>
      <c r="D278" s="66"/>
      <c r="E278" s="66" t="s">
        <v>0</v>
      </c>
      <c r="F278" s="23">
        <f>'[1]Valores ESTEC'!G48</f>
        <v>5488.75</v>
      </c>
      <c r="G278" s="22">
        <f t="shared" si="8"/>
        <v>0</v>
      </c>
      <c r="H278" s="42"/>
    </row>
    <row r="279" spans="1:8" x14ac:dyDescent="0.25">
      <c r="A279" s="20"/>
      <c r="B279" s="52"/>
      <c r="C279" s="70" t="s">
        <v>98</v>
      </c>
      <c r="D279" s="68"/>
      <c r="E279" s="68" t="s">
        <v>0</v>
      </c>
      <c r="F279" s="29">
        <f>'[1]Valores ESTEC'!G103</f>
        <v>1755</v>
      </c>
      <c r="G279" s="28">
        <f t="shared" si="8"/>
        <v>0</v>
      </c>
      <c r="H279" s="27"/>
    </row>
    <row r="280" spans="1:8" x14ac:dyDescent="0.25">
      <c r="A280" s="20"/>
      <c r="B280" s="52"/>
      <c r="C280" s="69" t="s">
        <v>294</v>
      </c>
      <c r="D280" s="66"/>
      <c r="E280" s="66" t="s">
        <v>0</v>
      </c>
      <c r="F280" s="23">
        <f>'[1]Valores ESTEC'!G63</f>
        <v>4876.25</v>
      </c>
      <c r="G280" s="22">
        <f t="shared" si="8"/>
        <v>0</v>
      </c>
      <c r="H280" s="42"/>
    </row>
    <row r="281" spans="1:8" x14ac:dyDescent="0.25">
      <c r="A281" s="20"/>
      <c r="B281" s="52"/>
      <c r="C281" s="70" t="s">
        <v>295</v>
      </c>
      <c r="D281" s="68"/>
      <c r="E281" s="68" t="s">
        <v>0</v>
      </c>
      <c r="F281" s="29">
        <v>1358</v>
      </c>
      <c r="G281" s="28">
        <f t="shared" si="8"/>
        <v>0</v>
      </c>
      <c r="H281" s="27"/>
    </row>
    <row r="282" spans="1:8" x14ac:dyDescent="0.25">
      <c r="A282" s="20"/>
      <c r="B282" s="52"/>
      <c r="C282" s="69" t="s">
        <v>296</v>
      </c>
      <c r="D282" s="66"/>
      <c r="E282" s="66" t="s">
        <v>0</v>
      </c>
      <c r="F282" s="23">
        <f>'[1]Valores ESTEC'!G416</f>
        <v>5595</v>
      </c>
      <c r="G282" s="22">
        <f t="shared" si="8"/>
        <v>0</v>
      </c>
      <c r="H282" s="42"/>
    </row>
    <row r="283" spans="1:8" x14ac:dyDescent="0.25">
      <c r="A283" s="20"/>
      <c r="B283" s="52"/>
      <c r="C283" s="70" t="s">
        <v>297</v>
      </c>
      <c r="D283" s="68"/>
      <c r="E283" s="68" t="s">
        <v>0</v>
      </c>
      <c r="F283" s="29">
        <f>'[1]Valores ESTEC'!G104</f>
        <v>2850</v>
      </c>
      <c r="G283" s="28">
        <f t="shared" si="8"/>
        <v>0</v>
      </c>
      <c r="H283" s="27"/>
    </row>
    <row r="284" spans="1:8" x14ac:dyDescent="0.25">
      <c r="A284" s="20"/>
      <c r="B284" s="52"/>
      <c r="C284" s="69" t="s">
        <v>298</v>
      </c>
      <c r="D284" s="66"/>
      <c r="E284" s="66" t="s">
        <v>0</v>
      </c>
      <c r="F284" s="23">
        <f>'[1]Valores ESTEC'!G417</f>
        <v>7503.75</v>
      </c>
      <c r="G284" s="22">
        <f t="shared" si="8"/>
        <v>0</v>
      </c>
      <c r="H284" s="42"/>
    </row>
    <row r="285" spans="1:8" x14ac:dyDescent="0.25">
      <c r="A285" s="20"/>
      <c r="B285" s="52"/>
      <c r="C285" s="70" t="s">
        <v>299</v>
      </c>
      <c r="D285" s="68"/>
      <c r="E285" s="68" t="s">
        <v>0</v>
      </c>
      <c r="F285" s="29">
        <f>'[1]Valores ESTEC'!G418</f>
        <v>11543.75</v>
      </c>
      <c r="G285" s="28">
        <f t="shared" si="8"/>
        <v>0</v>
      </c>
      <c r="H285" s="27"/>
    </row>
    <row r="286" spans="1:8" x14ac:dyDescent="0.25">
      <c r="A286" s="20"/>
      <c r="B286" s="52"/>
      <c r="C286" s="69" t="s">
        <v>95</v>
      </c>
      <c r="D286" s="66"/>
      <c r="E286" s="66" t="s">
        <v>0</v>
      </c>
      <c r="F286" s="23">
        <f>'[1]Valores ESTEC'!G57</f>
        <v>11802.5</v>
      </c>
      <c r="G286" s="22">
        <f t="shared" si="8"/>
        <v>0</v>
      </c>
      <c r="H286" s="42"/>
    </row>
    <row r="287" spans="1:8" x14ac:dyDescent="0.25">
      <c r="A287" s="20"/>
      <c r="B287" s="52"/>
      <c r="C287" s="70" t="s">
        <v>92</v>
      </c>
      <c r="D287" s="68"/>
      <c r="E287" s="68" t="s">
        <v>0</v>
      </c>
      <c r="F287" s="29">
        <f>'[1]Valores ESTEC'!G101</f>
        <v>22038.75</v>
      </c>
      <c r="G287" s="28">
        <f t="shared" si="8"/>
        <v>0</v>
      </c>
      <c r="H287" s="27"/>
    </row>
    <row r="288" spans="1:8" x14ac:dyDescent="0.25">
      <c r="A288" s="20"/>
      <c r="B288" s="52"/>
      <c r="C288" s="69" t="s">
        <v>300</v>
      </c>
      <c r="D288" s="66"/>
      <c r="E288" s="66" t="s">
        <v>0</v>
      </c>
      <c r="F288" s="23">
        <f>'[1]Valores ESTEC'!G49</f>
        <v>33970</v>
      </c>
      <c r="G288" s="22">
        <f t="shared" si="8"/>
        <v>0</v>
      </c>
      <c r="H288" s="42"/>
    </row>
    <row r="289" spans="1:8" x14ac:dyDescent="0.25">
      <c r="A289" s="20"/>
      <c r="B289" s="52"/>
      <c r="C289" s="70" t="s">
        <v>301</v>
      </c>
      <c r="D289" s="68"/>
      <c r="E289" s="68" t="s">
        <v>0</v>
      </c>
      <c r="F289" s="29">
        <f>'[1]Valores ESTEC'!G419</f>
        <v>2297.5</v>
      </c>
      <c r="G289" s="28">
        <f t="shared" si="8"/>
        <v>0</v>
      </c>
      <c r="H289" s="27"/>
    </row>
    <row r="290" spans="1:8" x14ac:dyDescent="0.25">
      <c r="A290" s="20"/>
      <c r="B290" s="52"/>
      <c r="C290" s="69" t="s">
        <v>302</v>
      </c>
      <c r="D290" s="66"/>
      <c r="E290" s="66" t="s">
        <v>0</v>
      </c>
      <c r="F290" s="23">
        <f>'[1]Valores ESTEC'!G187</f>
        <v>5795</v>
      </c>
      <c r="G290" s="22">
        <f t="shared" si="8"/>
        <v>0</v>
      </c>
      <c r="H290" s="42"/>
    </row>
    <row r="291" spans="1:8" x14ac:dyDescent="0.25">
      <c r="A291" s="20"/>
      <c r="B291" s="52"/>
      <c r="C291" s="70" t="s">
        <v>303</v>
      </c>
      <c r="D291" s="68"/>
      <c r="E291" s="68" t="s">
        <v>0</v>
      </c>
      <c r="F291" s="29">
        <f>'[1]Valores ESTEC'!G188</f>
        <v>9552.5</v>
      </c>
      <c r="G291" s="28">
        <f t="shared" si="8"/>
        <v>0</v>
      </c>
      <c r="H291" s="27"/>
    </row>
    <row r="292" spans="1:8" x14ac:dyDescent="0.25">
      <c r="A292" s="20"/>
      <c r="B292" s="52"/>
      <c r="C292" s="69" t="s">
        <v>304</v>
      </c>
      <c r="D292" s="66"/>
      <c r="E292" s="66" t="s">
        <v>0</v>
      </c>
      <c r="F292" s="23">
        <f>'[1]Valores ESTEC'!G102</f>
        <v>953.75</v>
      </c>
      <c r="G292" s="22">
        <f t="shared" si="8"/>
        <v>0</v>
      </c>
      <c r="H292" s="42"/>
    </row>
    <row r="293" spans="1:8" x14ac:dyDescent="0.25">
      <c r="A293" s="20"/>
      <c r="B293" s="52"/>
      <c r="C293" s="70" t="s">
        <v>96</v>
      </c>
      <c r="D293" s="68"/>
      <c r="E293" s="68" t="s">
        <v>0</v>
      </c>
      <c r="F293" s="29">
        <f>'[1]Valores ESTEC'!G47</f>
        <v>2002.5</v>
      </c>
      <c r="G293" s="28">
        <f t="shared" si="8"/>
        <v>0</v>
      </c>
      <c r="H293" s="27"/>
    </row>
    <row r="294" spans="1:8" x14ac:dyDescent="0.25">
      <c r="A294" s="20"/>
      <c r="B294" s="52"/>
      <c r="C294" s="69" t="s">
        <v>305</v>
      </c>
      <c r="D294" s="66"/>
      <c r="E294" s="66" t="s">
        <v>0</v>
      </c>
      <c r="F294" s="23">
        <f>'[1]Valores ESTEC'!G420</f>
        <v>4876.25</v>
      </c>
      <c r="G294" s="22">
        <f t="shared" si="8"/>
        <v>0</v>
      </c>
      <c r="H294" s="42"/>
    </row>
    <row r="295" spans="1:8" x14ac:dyDescent="0.25">
      <c r="A295" s="20"/>
      <c r="B295" s="52"/>
      <c r="C295" s="70" t="s">
        <v>306</v>
      </c>
      <c r="D295" s="68"/>
      <c r="E295" s="68" t="s">
        <v>0</v>
      </c>
      <c r="F295" s="29">
        <f>'[1]Valores ESTEC'!G421</f>
        <v>5936.25</v>
      </c>
      <c r="G295" s="28">
        <f t="shared" si="8"/>
        <v>0</v>
      </c>
      <c r="H295" s="27"/>
    </row>
    <row r="296" spans="1:8" x14ac:dyDescent="0.25">
      <c r="A296" s="20"/>
      <c r="B296" s="52"/>
      <c r="C296" s="69" t="s">
        <v>307</v>
      </c>
      <c r="D296" s="66"/>
      <c r="E296" s="66" t="s">
        <v>0</v>
      </c>
      <c r="F296" s="23">
        <f>'[1]Valores ESTEC'!G422</f>
        <v>10825</v>
      </c>
      <c r="G296" s="22">
        <f t="shared" si="8"/>
        <v>0</v>
      </c>
      <c r="H296" s="42"/>
    </row>
    <row r="297" spans="1:8" x14ac:dyDescent="0.25">
      <c r="A297" s="20"/>
      <c r="B297" s="52"/>
      <c r="C297" s="70" t="s">
        <v>109</v>
      </c>
      <c r="D297" s="68"/>
      <c r="E297" s="68" t="s">
        <v>0</v>
      </c>
      <c r="F297" s="29">
        <f>'[1]Valores ESTEC'!G423</f>
        <v>3357.5</v>
      </c>
      <c r="G297" s="28">
        <f t="shared" si="8"/>
        <v>0</v>
      </c>
      <c r="H297" s="27"/>
    </row>
    <row r="298" spans="1:8" x14ac:dyDescent="0.25">
      <c r="A298" s="20"/>
      <c r="B298" s="52"/>
      <c r="C298" s="69" t="s">
        <v>110</v>
      </c>
      <c r="D298" s="66"/>
      <c r="E298" s="66" t="s">
        <v>0</v>
      </c>
      <c r="F298" s="23">
        <f>'[1]Valores ESTEC'!G424</f>
        <v>3251.25</v>
      </c>
      <c r="G298" s="22">
        <f t="shared" si="8"/>
        <v>0</v>
      </c>
      <c r="H298" s="42"/>
    </row>
    <row r="299" spans="1:8" x14ac:dyDescent="0.25">
      <c r="A299" s="20"/>
      <c r="B299" s="52"/>
      <c r="C299" s="70" t="s">
        <v>308</v>
      </c>
      <c r="D299" s="68"/>
      <c r="E299" s="68" t="s">
        <v>0</v>
      </c>
      <c r="F299" s="29">
        <f>'[1]Valores ESTEC'!G425</f>
        <v>13403.75</v>
      </c>
      <c r="G299" s="28">
        <f t="shared" si="8"/>
        <v>0</v>
      </c>
      <c r="H299" s="27"/>
    </row>
    <row r="300" spans="1:8" x14ac:dyDescent="0.25">
      <c r="A300" s="20"/>
      <c r="B300" s="52"/>
      <c r="C300" s="69" t="s">
        <v>107</v>
      </c>
      <c r="D300" s="66"/>
      <c r="E300" s="66" t="s">
        <v>0</v>
      </c>
      <c r="F300" s="23">
        <f>'[1]Valores ESTEC'!G426</f>
        <v>836.25</v>
      </c>
      <c r="G300" s="22">
        <f t="shared" si="8"/>
        <v>0</v>
      </c>
      <c r="H300" s="42"/>
    </row>
    <row r="301" spans="1:8" x14ac:dyDescent="0.25">
      <c r="A301" s="20"/>
      <c r="B301" s="52"/>
      <c r="C301" s="70" t="s">
        <v>108</v>
      </c>
      <c r="D301" s="68"/>
      <c r="E301" s="68" t="s">
        <v>0</v>
      </c>
      <c r="F301" s="29">
        <v>68096</v>
      </c>
      <c r="G301" s="28">
        <f t="shared" si="8"/>
        <v>0</v>
      </c>
      <c r="H301" s="27"/>
    </row>
    <row r="302" spans="1:8" x14ac:dyDescent="0.25">
      <c r="A302" s="20"/>
      <c r="B302" s="52"/>
      <c r="C302" s="69" t="s">
        <v>309</v>
      </c>
      <c r="D302" s="66"/>
      <c r="E302" s="66" t="s">
        <v>97</v>
      </c>
      <c r="F302" s="23">
        <f>'[1]Valores ESTEC'!G328</f>
        <v>143761.25</v>
      </c>
      <c r="G302" s="22">
        <f t="shared" si="8"/>
        <v>0</v>
      </c>
      <c r="H302" s="42"/>
    </row>
    <row r="303" spans="1:8" x14ac:dyDescent="0.25">
      <c r="A303" s="20"/>
      <c r="B303" s="52"/>
      <c r="C303" s="70" t="s">
        <v>310</v>
      </c>
      <c r="D303" s="68"/>
      <c r="E303" s="68" t="s">
        <v>97</v>
      </c>
      <c r="F303" s="29">
        <f>'[1]Valores ESTEC'!G327</f>
        <v>202372.5</v>
      </c>
      <c r="G303" s="28">
        <f t="shared" si="8"/>
        <v>0</v>
      </c>
      <c r="H303" s="27"/>
    </row>
    <row r="304" spans="1:8" x14ac:dyDescent="0.25">
      <c r="A304" s="20"/>
      <c r="B304" s="52"/>
      <c r="C304" s="69" t="s">
        <v>311</v>
      </c>
      <c r="D304" s="66"/>
      <c r="E304" s="66" t="s">
        <v>97</v>
      </c>
      <c r="F304" s="23">
        <f>'[1]Valores ESTEC'!G326</f>
        <v>156365</v>
      </c>
      <c r="G304" s="22">
        <f t="shared" si="8"/>
        <v>0</v>
      </c>
      <c r="H304" s="42"/>
    </row>
    <row r="305" spans="1:8" x14ac:dyDescent="0.25">
      <c r="A305" s="20"/>
      <c r="B305" s="52"/>
      <c r="C305" s="70" t="s">
        <v>312</v>
      </c>
      <c r="D305" s="68"/>
      <c r="E305" s="68" t="s">
        <v>97</v>
      </c>
      <c r="F305" s="29">
        <f>'[1]Valores ESTEC'!G329</f>
        <v>202878.75</v>
      </c>
      <c r="G305" s="28">
        <f t="shared" si="8"/>
        <v>0</v>
      </c>
      <c r="H305" s="27"/>
    </row>
    <row r="306" spans="1:8" x14ac:dyDescent="0.25">
      <c r="A306" s="20"/>
      <c r="B306" s="52"/>
      <c r="C306" s="69" t="s">
        <v>313</v>
      </c>
      <c r="D306" s="66"/>
      <c r="E306" s="66" t="s">
        <v>97</v>
      </c>
      <c r="F306" s="23">
        <f>'[1]Valores ESTEC'!G330</f>
        <v>164903.75</v>
      </c>
      <c r="G306" s="22">
        <f t="shared" si="8"/>
        <v>0</v>
      </c>
      <c r="H306" s="42"/>
    </row>
    <row r="307" spans="1:8" x14ac:dyDescent="0.25">
      <c r="A307" s="20"/>
      <c r="B307" s="52"/>
      <c r="C307" s="70" t="s">
        <v>106</v>
      </c>
      <c r="D307" s="68"/>
      <c r="E307" s="68" t="s">
        <v>0</v>
      </c>
      <c r="F307" s="29">
        <f>'[1]Valores ESTEC'!G426</f>
        <v>836.25</v>
      </c>
      <c r="G307" s="28">
        <f t="shared" si="8"/>
        <v>0</v>
      </c>
      <c r="H307" s="27"/>
    </row>
    <row r="308" spans="1:8" x14ac:dyDescent="0.25">
      <c r="A308" s="20"/>
      <c r="B308" s="52"/>
      <c r="C308" s="69" t="s">
        <v>104</v>
      </c>
      <c r="D308" s="66"/>
      <c r="E308" s="66" t="s">
        <v>0</v>
      </c>
      <c r="F308" s="23">
        <f>'[1]Valores ESTEC'!G427</f>
        <v>3696.25</v>
      </c>
      <c r="G308" s="22">
        <f t="shared" si="8"/>
        <v>0</v>
      </c>
      <c r="H308" s="42"/>
    </row>
    <row r="309" spans="1:8" x14ac:dyDescent="0.25">
      <c r="A309" s="20"/>
      <c r="B309" s="52"/>
      <c r="C309" s="70" t="s">
        <v>314</v>
      </c>
      <c r="D309" s="68"/>
      <c r="E309" s="68" t="s">
        <v>0</v>
      </c>
      <c r="F309" s="29">
        <v>6500</v>
      </c>
      <c r="G309" s="28">
        <f t="shared" si="8"/>
        <v>0</v>
      </c>
      <c r="H309" s="27"/>
    </row>
    <row r="310" spans="1:8" x14ac:dyDescent="0.25">
      <c r="A310" s="20"/>
      <c r="B310" s="52"/>
      <c r="C310" s="69" t="s">
        <v>315</v>
      </c>
      <c r="D310" s="66"/>
      <c r="E310" s="66" t="s">
        <v>0</v>
      </c>
      <c r="F310" s="23">
        <v>5700</v>
      </c>
      <c r="G310" s="22">
        <f t="shared" si="8"/>
        <v>0</v>
      </c>
      <c r="H310" s="42"/>
    </row>
    <row r="311" spans="1:8" x14ac:dyDescent="0.25">
      <c r="A311" s="20"/>
      <c r="B311" s="52"/>
      <c r="C311" s="70" t="s">
        <v>105</v>
      </c>
      <c r="D311" s="30"/>
      <c r="E311" s="85" t="s">
        <v>0</v>
      </c>
      <c r="F311" s="84">
        <v>15000</v>
      </c>
      <c r="G311" s="28">
        <f t="shared" si="8"/>
        <v>0</v>
      </c>
      <c r="H311" s="77"/>
    </row>
    <row r="312" spans="1:8" x14ac:dyDescent="0.25">
      <c r="A312" s="20"/>
      <c r="B312" s="52"/>
      <c r="C312" s="69" t="s">
        <v>99</v>
      </c>
      <c r="D312" s="66"/>
      <c r="E312" s="66"/>
      <c r="F312" s="23"/>
      <c r="G312" s="22">
        <f t="shared" si="8"/>
        <v>0</v>
      </c>
      <c r="H312" s="42"/>
    </row>
    <row r="313" spans="1:8" x14ac:dyDescent="0.25">
      <c r="A313" s="20"/>
      <c r="B313" s="52"/>
      <c r="C313" s="70" t="s">
        <v>100</v>
      </c>
      <c r="D313" s="30"/>
      <c r="E313" s="85"/>
      <c r="F313" s="84"/>
      <c r="G313" s="28">
        <f t="shared" si="8"/>
        <v>0</v>
      </c>
      <c r="H313" s="77"/>
    </row>
    <row r="314" spans="1:8" x14ac:dyDescent="0.25">
      <c r="A314" s="20"/>
      <c r="B314" s="52"/>
      <c r="C314" s="69" t="s">
        <v>316</v>
      </c>
      <c r="D314" s="66"/>
      <c r="E314" s="66"/>
      <c r="F314" s="23"/>
      <c r="G314" s="22">
        <f t="shared" ref="G314:G323" si="9">F314*D314</f>
        <v>0</v>
      </c>
      <c r="H314" s="42"/>
    </row>
    <row r="315" spans="1:8" x14ac:dyDescent="0.25">
      <c r="A315" s="20"/>
      <c r="B315" s="52"/>
      <c r="C315" s="70" t="s">
        <v>112</v>
      </c>
      <c r="D315" s="30"/>
      <c r="E315" s="85"/>
      <c r="F315" s="84"/>
      <c r="G315" s="28">
        <f t="shared" si="9"/>
        <v>0</v>
      </c>
      <c r="H315" s="77"/>
    </row>
    <row r="316" spans="1:8" x14ac:dyDescent="0.25">
      <c r="A316" s="20"/>
      <c r="B316" s="52"/>
      <c r="C316" s="69" t="s">
        <v>317</v>
      </c>
      <c r="D316" s="66"/>
      <c r="E316" s="66"/>
      <c r="F316" s="23"/>
      <c r="G316" s="22">
        <f t="shared" si="9"/>
        <v>0</v>
      </c>
      <c r="H316" s="42"/>
    </row>
    <row r="317" spans="1:8" x14ac:dyDescent="0.25">
      <c r="A317" s="20"/>
      <c r="B317" s="52"/>
      <c r="C317" s="70" t="s">
        <v>318</v>
      </c>
      <c r="D317" s="30"/>
      <c r="E317" s="85"/>
      <c r="F317" s="84"/>
      <c r="G317" s="28">
        <f t="shared" si="9"/>
        <v>0</v>
      </c>
      <c r="H317" s="77"/>
    </row>
    <row r="318" spans="1:8" x14ac:dyDescent="0.25">
      <c r="A318" s="20"/>
      <c r="B318" s="52"/>
      <c r="C318" s="69" t="s">
        <v>319</v>
      </c>
      <c r="D318" s="66"/>
      <c r="E318" s="66"/>
      <c r="F318" s="23"/>
      <c r="G318" s="22">
        <f t="shared" si="9"/>
        <v>0</v>
      </c>
      <c r="H318" s="42"/>
    </row>
    <row r="319" spans="1:8" x14ac:dyDescent="0.25">
      <c r="A319" s="20"/>
      <c r="B319" s="52"/>
      <c r="C319" s="70" t="s">
        <v>320</v>
      </c>
      <c r="D319" s="30"/>
      <c r="E319" s="85"/>
      <c r="F319" s="84"/>
      <c r="G319" s="28">
        <f t="shared" si="9"/>
        <v>0</v>
      </c>
      <c r="H319" s="77"/>
    </row>
    <row r="320" spans="1:8" x14ac:dyDescent="0.25">
      <c r="A320" s="20"/>
      <c r="B320" s="52"/>
      <c r="C320" s="69" t="s">
        <v>321</v>
      </c>
      <c r="D320" s="66"/>
      <c r="E320" s="66"/>
      <c r="F320" s="23"/>
      <c r="G320" s="22">
        <f t="shared" si="9"/>
        <v>0</v>
      </c>
      <c r="H320" s="42"/>
    </row>
    <row r="321" spans="1:8" x14ac:dyDescent="0.25">
      <c r="A321" s="20"/>
      <c r="B321" s="52"/>
      <c r="C321" s="70" t="s">
        <v>322</v>
      </c>
      <c r="D321" s="30"/>
      <c r="E321" s="85"/>
      <c r="F321" s="84"/>
      <c r="G321" s="28">
        <f t="shared" si="9"/>
        <v>0</v>
      </c>
      <c r="H321" s="77"/>
    </row>
    <row r="322" spans="1:8" x14ac:dyDescent="0.25">
      <c r="A322" s="20"/>
      <c r="B322" s="52"/>
      <c r="C322" s="69" t="s">
        <v>323</v>
      </c>
      <c r="D322" s="66"/>
      <c r="E322" s="66"/>
      <c r="F322" s="23"/>
      <c r="G322" s="22">
        <f t="shared" si="9"/>
        <v>0</v>
      </c>
      <c r="H322" s="42"/>
    </row>
    <row r="323" spans="1:8" x14ac:dyDescent="0.25">
      <c r="A323" s="20"/>
      <c r="B323" s="52"/>
      <c r="C323" s="70" t="s">
        <v>324</v>
      </c>
      <c r="D323" s="30"/>
      <c r="E323" s="85"/>
      <c r="F323" s="84"/>
      <c r="G323" s="28">
        <f t="shared" si="9"/>
        <v>0</v>
      </c>
      <c r="H323" s="77"/>
    </row>
    <row r="324" spans="1:8" x14ac:dyDescent="0.25">
      <c r="A324" s="20"/>
      <c r="B324" s="52"/>
      <c r="C324" s="69" t="s">
        <v>325</v>
      </c>
      <c r="D324" s="66"/>
      <c r="E324" s="66"/>
      <c r="F324" s="23"/>
      <c r="G324" s="22">
        <f t="shared" si="8"/>
        <v>0</v>
      </c>
      <c r="H324" s="42"/>
    </row>
    <row r="325" spans="1:8" x14ac:dyDescent="0.25">
      <c r="A325" s="20"/>
      <c r="B325" s="52"/>
      <c r="C325" s="70" t="s">
        <v>326</v>
      </c>
      <c r="D325" s="30"/>
      <c r="E325" s="85"/>
      <c r="F325" s="84"/>
      <c r="G325" s="28">
        <f t="shared" si="8"/>
        <v>0</v>
      </c>
      <c r="H325" s="77"/>
    </row>
    <row r="326" spans="1:8" x14ac:dyDescent="0.25">
      <c r="A326" s="20"/>
      <c r="B326" s="52"/>
      <c r="C326" s="69" t="s">
        <v>327</v>
      </c>
      <c r="D326" s="66"/>
      <c r="E326" s="66"/>
      <c r="F326" s="23"/>
      <c r="G326" s="22">
        <f t="shared" si="8"/>
        <v>0</v>
      </c>
      <c r="H326" s="42"/>
    </row>
    <row r="327" spans="1:8" x14ac:dyDescent="0.25">
      <c r="A327" s="20"/>
      <c r="B327" s="52"/>
      <c r="C327" s="70" t="s">
        <v>103</v>
      </c>
      <c r="D327" s="30"/>
      <c r="E327" s="85"/>
      <c r="F327" s="84"/>
      <c r="G327" s="28">
        <f t="shared" si="8"/>
        <v>0</v>
      </c>
      <c r="H327" s="77"/>
    </row>
    <row r="328" spans="1:8" x14ac:dyDescent="0.25">
      <c r="A328" s="20"/>
      <c r="B328" s="52"/>
      <c r="C328" s="69" t="s">
        <v>102</v>
      </c>
      <c r="D328" s="66"/>
      <c r="E328" s="66"/>
      <c r="F328" s="23"/>
      <c r="G328" s="22">
        <f t="shared" si="8"/>
        <v>0</v>
      </c>
      <c r="H328" s="42"/>
    </row>
    <row r="329" spans="1:8" x14ac:dyDescent="0.25">
      <c r="A329" s="20"/>
      <c r="B329" s="52"/>
      <c r="C329" s="70" t="s">
        <v>101</v>
      </c>
      <c r="D329" s="30"/>
      <c r="E329" s="85"/>
      <c r="F329" s="84"/>
      <c r="G329" s="28">
        <f t="shared" si="8"/>
        <v>0</v>
      </c>
      <c r="H329" s="77"/>
    </row>
    <row r="330" spans="1:8" x14ac:dyDescent="0.25">
      <c r="A330" s="20"/>
      <c r="B330" s="52"/>
      <c r="C330" s="51"/>
      <c r="D330" s="66"/>
      <c r="E330" s="66"/>
      <c r="F330" s="23"/>
      <c r="G330" s="22">
        <f t="shared" si="8"/>
        <v>0</v>
      </c>
      <c r="H330" s="42"/>
    </row>
    <row r="331" spans="1:8" x14ac:dyDescent="0.25">
      <c r="A331" s="20"/>
      <c r="B331" s="52"/>
      <c r="C331" s="61"/>
      <c r="D331" s="30"/>
      <c r="E331" s="85"/>
      <c r="F331" s="84"/>
      <c r="G331" s="28">
        <f t="shared" si="8"/>
        <v>0</v>
      </c>
      <c r="H331" s="77"/>
    </row>
    <row r="332" spans="1:8" x14ac:dyDescent="0.25">
      <c r="A332" s="20"/>
      <c r="B332" s="52"/>
      <c r="C332" s="51"/>
      <c r="D332" s="66"/>
      <c r="E332" s="66"/>
      <c r="F332" s="23"/>
      <c r="G332" s="22">
        <f t="shared" si="8"/>
        <v>0</v>
      </c>
      <c r="H332" s="42"/>
    </row>
    <row r="333" spans="1:8" x14ac:dyDescent="0.25">
      <c r="A333" s="20"/>
      <c r="B333" s="52"/>
      <c r="C333" s="61"/>
      <c r="D333" s="30"/>
      <c r="E333" s="85"/>
      <c r="F333" s="84"/>
      <c r="G333" s="28">
        <f t="shared" si="8"/>
        <v>0</v>
      </c>
      <c r="H333" s="77"/>
    </row>
    <row r="334" spans="1:8" x14ac:dyDescent="0.25">
      <c r="A334" s="20"/>
      <c r="B334" s="52"/>
      <c r="C334" s="51"/>
      <c r="D334" s="66"/>
      <c r="E334" s="66"/>
      <c r="F334" s="23"/>
      <c r="G334" s="22">
        <f t="shared" si="8"/>
        <v>0</v>
      </c>
      <c r="H334" s="42"/>
    </row>
    <row r="335" spans="1:8" x14ac:dyDescent="0.25">
      <c r="A335" s="20"/>
      <c r="B335" s="52"/>
      <c r="C335" s="53"/>
      <c r="D335" s="68"/>
      <c r="E335" s="68"/>
      <c r="F335" s="29"/>
      <c r="G335" s="28">
        <f t="shared" si="8"/>
        <v>0</v>
      </c>
      <c r="H335" s="27"/>
    </row>
    <row r="336" spans="1:8" x14ac:dyDescent="0.25">
      <c r="A336" s="20"/>
      <c r="B336" s="52"/>
      <c r="C336" s="51"/>
      <c r="D336" s="66"/>
      <c r="E336" s="66"/>
      <c r="F336" s="23"/>
      <c r="G336" s="22">
        <f t="shared" si="8"/>
        <v>0</v>
      </c>
      <c r="H336" s="42"/>
    </row>
    <row r="337" spans="1:8" ht="15.75" thickBot="1" x14ac:dyDescent="0.3">
      <c r="A337" s="20"/>
      <c r="B337" s="75"/>
      <c r="C337" s="53"/>
      <c r="D337" s="68"/>
      <c r="E337" s="68"/>
      <c r="F337" s="74"/>
      <c r="G337" s="28">
        <f t="shared" si="8"/>
        <v>0</v>
      </c>
      <c r="H337" s="27"/>
    </row>
    <row r="338" spans="1:8" x14ac:dyDescent="0.25">
      <c r="A338" s="20"/>
      <c r="B338" s="73" t="s">
        <v>94</v>
      </c>
      <c r="C338" s="101" t="s">
        <v>328</v>
      </c>
      <c r="D338" s="72"/>
      <c r="E338" s="72" t="s">
        <v>0</v>
      </c>
      <c r="F338" s="71">
        <f>'[1]Valores ESTEC'!G115</f>
        <v>40051.25</v>
      </c>
      <c r="G338" s="45">
        <f>F338*D338</f>
        <v>0</v>
      </c>
      <c r="H338" s="44"/>
    </row>
    <row r="339" spans="1:8" x14ac:dyDescent="0.25">
      <c r="A339" s="20"/>
      <c r="B339" s="52"/>
      <c r="C339" s="69" t="s">
        <v>329</v>
      </c>
      <c r="D339" s="66"/>
      <c r="E339" s="66" t="s">
        <v>0</v>
      </c>
      <c r="F339" s="23">
        <f>'[1]Valores ESTEC'!G116</f>
        <v>40051.25</v>
      </c>
      <c r="G339" s="22">
        <f>F339*D339</f>
        <v>0</v>
      </c>
      <c r="H339" s="42"/>
    </row>
    <row r="340" spans="1:8" x14ac:dyDescent="0.25">
      <c r="A340" s="20"/>
      <c r="B340" s="52"/>
      <c r="C340" s="70" t="s">
        <v>330</v>
      </c>
      <c r="D340" s="68"/>
      <c r="E340" s="68" t="s">
        <v>0</v>
      </c>
      <c r="F340" s="29">
        <f>'[1]Valores ESTEC'!G117</f>
        <v>40051.25</v>
      </c>
      <c r="G340" s="28">
        <f>F340*D340</f>
        <v>0</v>
      </c>
      <c r="H340" s="27"/>
    </row>
    <row r="341" spans="1:8" x14ac:dyDescent="0.25">
      <c r="A341" s="20"/>
      <c r="B341" s="52"/>
      <c r="C341" s="69" t="s">
        <v>331</v>
      </c>
      <c r="D341" s="66"/>
      <c r="E341" s="66" t="s">
        <v>4</v>
      </c>
      <c r="F341" s="23">
        <f>'[1]Valores ESTEC'!G118</f>
        <v>1171.25</v>
      </c>
      <c r="G341" s="22">
        <f>F341*D341</f>
        <v>0</v>
      </c>
      <c r="H341" s="42"/>
    </row>
    <row r="342" spans="1:8" x14ac:dyDescent="0.25">
      <c r="A342" s="20"/>
      <c r="B342" s="52"/>
      <c r="C342" s="70" t="s">
        <v>332</v>
      </c>
      <c r="D342" s="68"/>
      <c r="E342" s="68" t="s">
        <v>4</v>
      </c>
      <c r="F342" s="29">
        <f>'[1]Valores ESTEC'!G119</f>
        <v>2293.75</v>
      </c>
      <c r="G342" s="28">
        <f t="shared" ref="G342:G405" si="10">F342*D342</f>
        <v>0</v>
      </c>
      <c r="H342" s="27"/>
    </row>
    <row r="343" spans="1:8" x14ac:dyDescent="0.25">
      <c r="A343" s="20"/>
      <c r="B343" s="52"/>
      <c r="C343" s="69" t="s">
        <v>333</v>
      </c>
      <c r="D343" s="66"/>
      <c r="E343" s="66" t="s">
        <v>0</v>
      </c>
      <c r="F343" s="23">
        <f>'[1]Valores ESTEC'!G217</f>
        <v>2473.75</v>
      </c>
      <c r="G343" s="22">
        <f t="shared" si="10"/>
        <v>0</v>
      </c>
      <c r="H343" s="42"/>
    </row>
    <row r="344" spans="1:8" x14ac:dyDescent="0.25">
      <c r="A344" s="20"/>
      <c r="B344" s="52"/>
      <c r="C344" s="70" t="s">
        <v>334</v>
      </c>
      <c r="D344" s="68"/>
      <c r="E344" s="68" t="s">
        <v>0</v>
      </c>
      <c r="F344" s="29">
        <f>'[1]Valores ESTEC'!G113</f>
        <v>23158.75</v>
      </c>
      <c r="G344" s="28">
        <f t="shared" si="10"/>
        <v>0</v>
      </c>
      <c r="H344" s="27"/>
    </row>
    <row r="345" spans="1:8" x14ac:dyDescent="0.25">
      <c r="A345" s="20"/>
      <c r="B345" s="52"/>
      <c r="C345" s="69" t="s">
        <v>335</v>
      </c>
      <c r="D345" s="66"/>
      <c r="E345" s="66" t="s">
        <v>0</v>
      </c>
      <c r="F345" s="23">
        <f>'[1]Valores ESTEC'!G194</f>
        <v>3056.25</v>
      </c>
      <c r="G345" s="22">
        <f t="shared" si="10"/>
        <v>0</v>
      </c>
      <c r="H345" s="42"/>
    </row>
    <row r="346" spans="1:8" x14ac:dyDescent="0.25">
      <c r="A346" s="20"/>
      <c r="B346" s="52"/>
      <c r="C346" s="70" t="s">
        <v>336</v>
      </c>
      <c r="D346" s="68"/>
      <c r="E346" s="68" t="s">
        <v>0</v>
      </c>
      <c r="F346" s="29">
        <f>'[1]Valores ESTEC'!G195</f>
        <v>16323.75</v>
      </c>
      <c r="G346" s="28">
        <f t="shared" si="10"/>
        <v>0</v>
      </c>
      <c r="H346" s="27"/>
    </row>
    <row r="347" spans="1:8" x14ac:dyDescent="0.25">
      <c r="A347" s="20"/>
      <c r="B347" s="52"/>
      <c r="C347" s="69" t="s">
        <v>337</v>
      </c>
      <c r="D347" s="66"/>
      <c r="E347" s="66" t="s">
        <v>0</v>
      </c>
      <c r="F347" s="23">
        <v>30000</v>
      </c>
      <c r="G347" s="22">
        <f t="shared" si="10"/>
        <v>0</v>
      </c>
      <c r="H347" s="42"/>
    </row>
    <row r="348" spans="1:8" x14ac:dyDescent="0.25">
      <c r="A348" s="20"/>
      <c r="B348" s="52"/>
      <c r="C348" s="70" t="s">
        <v>85</v>
      </c>
      <c r="D348" s="68"/>
      <c r="E348" s="68" t="s">
        <v>0</v>
      </c>
      <c r="F348" s="29">
        <f>'[1]Valores ESTEC'!G313</f>
        <v>19766.25</v>
      </c>
      <c r="G348" s="28">
        <f t="shared" si="10"/>
        <v>0</v>
      </c>
      <c r="H348" s="27"/>
    </row>
    <row r="349" spans="1:8" x14ac:dyDescent="0.25">
      <c r="A349" s="20"/>
      <c r="B349" s="52"/>
      <c r="C349" s="69" t="s">
        <v>338</v>
      </c>
      <c r="D349" s="66"/>
      <c r="E349" s="66" t="s">
        <v>0</v>
      </c>
      <c r="F349" s="23">
        <f>'[1]Valores ESTEC'!G314</f>
        <v>27368.75</v>
      </c>
      <c r="G349" s="22">
        <f t="shared" si="10"/>
        <v>0</v>
      </c>
      <c r="H349" s="42"/>
    </row>
    <row r="350" spans="1:8" x14ac:dyDescent="0.25">
      <c r="A350" s="20"/>
      <c r="B350" s="52"/>
      <c r="C350" s="70" t="s">
        <v>339</v>
      </c>
      <c r="D350" s="68"/>
      <c r="E350" s="68" t="s">
        <v>0</v>
      </c>
      <c r="F350" s="29">
        <f>'[1]Valores ESTEC'!G315</f>
        <v>31931.25</v>
      </c>
      <c r="G350" s="28">
        <f t="shared" si="10"/>
        <v>0</v>
      </c>
      <c r="H350" s="27"/>
    </row>
    <row r="351" spans="1:8" x14ac:dyDescent="0.25">
      <c r="A351" s="20"/>
      <c r="B351" s="52"/>
      <c r="C351" s="69" t="s">
        <v>93</v>
      </c>
      <c r="D351" s="66"/>
      <c r="E351" s="66" t="s">
        <v>0</v>
      </c>
      <c r="F351" s="23">
        <f>'[1]Valores ESTEC'!G316</f>
        <v>47136.25</v>
      </c>
      <c r="G351" s="22">
        <f t="shared" si="10"/>
        <v>0</v>
      </c>
      <c r="H351" s="42"/>
    </row>
    <row r="352" spans="1:8" x14ac:dyDescent="0.25">
      <c r="A352" s="20"/>
      <c r="B352" s="52"/>
      <c r="C352" s="70" t="s">
        <v>87</v>
      </c>
      <c r="D352" s="68"/>
      <c r="E352" s="68" t="s">
        <v>0</v>
      </c>
      <c r="F352" s="29">
        <f>'[1]Valores ESTEC'!G317</f>
        <v>60820</v>
      </c>
      <c r="G352" s="28">
        <f t="shared" si="10"/>
        <v>0</v>
      </c>
      <c r="H352" s="27"/>
    </row>
    <row r="353" spans="1:8" x14ac:dyDescent="0.25">
      <c r="A353" s="20"/>
      <c r="B353" s="52"/>
      <c r="C353" s="69" t="s">
        <v>86</v>
      </c>
      <c r="D353" s="66"/>
      <c r="E353" s="66" t="s">
        <v>0</v>
      </c>
      <c r="F353" s="23">
        <f>'[1]Valores ESTEC'!G318</f>
        <v>102633.75</v>
      </c>
      <c r="G353" s="22">
        <f t="shared" si="10"/>
        <v>0</v>
      </c>
      <c r="H353" s="42"/>
    </row>
    <row r="354" spans="1:8" x14ac:dyDescent="0.25">
      <c r="A354" s="20"/>
      <c r="B354" s="52"/>
      <c r="C354" s="70" t="s">
        <v>340</v>
      </c>
      <c r="D354" s="68"/>
      <c r="E354" s="68" t="s">
        <v>0</v>
      </c>
      <c r="F354" s="29">
        <f>'[1]Valores ESTEC'!G319</f>
        <v>74496.25</v>
      </c>
      <c r="G354" s="28">
        <f t="shared" si="10"/>
        <v>0</v>
      </c>
      <c r="H354" s="27"/>
    </row>
    <row r="355" spans="1:8" x14ac:dyDescent="0.25">
      <c r="A355" s="20"/>
      <c r="B355" s="52"/>
      <c r="C355" s="69" t="s">
        <v>341</v>
      </c>
      <c r="D355" s="66"/>
      <c r="E355" s="66" t="s">
        <v>0</v>
      </c>
      <c r="F355" s="23">
        <f>'[1]Valores ESTEC'!G320</f>
        <v>111701.25</v>
      </c>
      <c r="G355" s="22">
        <f t="shared" si="10"/>
        <v>0</v>
      </c>
      <c r="H355" s="42"/>
    </row>
    <row r="356" spans="1:8" x14ac:dyDescent="0.25">
      <c r="A356" s="20"/>
      <c r="B356" s="52"/>
      <c r="C356" s="70" t="s">
        <v>80</v>
      </c>
      <c r="D356" s="68"/>
      <c r="E356" s="68" t="s">
        <v>0</v>
      </c>
      <c r="F356" s="29">
        <f>'[1]Valores ESTEC'!G321</f>
        <v>106625</v>
      </c>
      <c r="G356" s="28">
        <f t="shared" si="10"/>
        <v>0</v>
      </c>
      <c r="H356" s="27"/>
    </row>
    <row r="357" spans="1:8" x14ac:dyDescent="0.25">
      <c r="A357" s="20"/>
      <c r="B357" s="52"/>
      <c r="C357" s="69" t="s">
        <v>342</v>
      </c>
      <c r="D357" s="66"/>
      <c r="E357" s="66" t="s">
        <v>0</v>
      </c>
      <c r="F357" s="23">
        <f>'[1]Valores ESTEC'!G322</f>
        <v>154167.5</v>
      </c>
      <c r="G357" s="22">
        <f t="shared" si="10"/>
        <v>0</v>
      </c>
      <c r="H357" s="42"/>
    </row>
    <row r="358" spans="1:8" ht="14.25" customHeight="1" x14ac:dyDescent="0.25">
      <c r="A358" s="20"/>
      <c r="B358" s="52"/>
      <c r="C358" s="70" t="s">
        <v>343</v>
      </c>
      <c r="D358" s="68"/>
      <c r="E358" s="68" t="s">
        <v>0</v>
      </c>
      <c r="F358" s="29">
        <f>'[1]Valores ESTEC'!G323</f>
        <v>261145</v>
      </c>
      <c r="G358" s="28">
        <f t="shared" si="10"/>
        <v>0</v>
      </c>
      <c r="H358" s="27"/>
    </row>
    <row r="359" spans="1:8" x14ac:dyDescent="0.25">
      <c r="A359" s="20"/>
      <c r="B359" s="52"/>
      <c r="C359" s="69" t="s">
        <v>344</v>
      </c>
      <c r="D359" s="66"/>
      <c r="E359" s="66" t="s">
        <v>0</v>
      </c>
      <c r="F359" s="23">
        <f>'[1]Valores ESTEC'!G428</f>
        <v>2102.5</v>
      </c>
      <c r="G359" s="22">
        <f t="shared" si="10"/>
        <v>0</v>
      </c>
      <c r="H359" s="42"/>
    </row>
    <row r="360" spans="1:8" x14ac:dyDescent="0.25">
      <c r="A360" s="20"/>
      <c r="B360" s="52"/>
      <c r="C360" s="70" t="s">
        <v>345</v>
      </c>
      <c r="D360" s="68"/>
      <c r="E360" s="68" t="s">
        <v>0</v>
      </c>
      <c r="F360" s="29">
        <f>'[1]Valores ESTEC'!G429</f>
        <v>5288.75</v>
      </c>
      <c r="G360" s="28">
        <f t="shared" si="10"/>
        <v>0</v>
      </c>
      <c r="H360" s="27"/>
    </row>
    <row r="361" spans="1:8" x14ac:dyDescent="0.25">
      <c r="A361" s="20"/>
      <c r="B361" s="52"/>
      <c r="C361" s="69" t="s">
        <v>346</v>
      </c>
      <c r="D361" s="66"/>
      <c r="E361" s="66" t="s">
        <v>0</v>
      </c>
      <c r="F361" s="23">
        <f>'[1]Valores ESTEC'!G430</f>
        <v>5288.75</v>
      </c>
      <c r="G361" s="22">
        <f t="shared" si="10"/>
        <v>0</v>
      </c>
      <c r="H361" s="42"/>
    </row>
    <row r="362" spans="1:8" x14ac:dyDescent="0.25">
      <c r="A362" s="20"/>
      <c r="B362" s="52"/>
      <c r="C362" s="70" t="s">
        <v>5</v>
      </c>
      <c r="D362" s="68"/>
      <c r="E362" s="68" t="s">
        <v>0</v>
      </c>
      <c r="F362" s="29">
        <f>'[1]Valores ESTEC'!G204</f>
        <v>3798.75</v>
      </c>
      <c r="G362" s="28">
        <f t="shared" si="10"/>
        <v>0</v>
      </c>
      <c r="H362" s="27"/>
    </row>
    <row r="363" spans="1:8" x14ac:dyDescent="0.25">
      <c r="A363" s="20"/>
      <c r="B363" s="52"/>
      <c r="C363" s="69" t="s">
        <v>347</v>
      </c>
      <c r="D363" s="66"/>
      <c r="E363" s="66" t="s">
        <v>0</v>
      </c>
      <c r="F363" s="23">
        <f>'[1]Valores ESTEC'!G205</f>
        <v>3798.75</v>
      </c>
      <c r="G363" s="22">
        <f t="shared" si="10"/>
        <v>0</v>
      </c>
      <c r="H363" s="42"/>
    </row>
    <row r="364" spans="1:8" x14ac:dyDescent="0.25">
      <c r="A364" s="20"/>
      <c r="B364" s="52"/>
      <c r="C364" s="70" t="s">
        <v>348</v>
      </c>
      <c r="D364" s="68"/>
      <c r="E364" s="68" t="s">
        <v>0</v>
      </c>
      <c r="F364" s="29">
        <f>'[1]Valores ESTEC'!G206</f>
        <v>3798.75</v>
      </c>
      <c r="G364" s="28">
        <f t="shared" si="10"/>
        <v>0</v>
      </c>
      <c r="H364" s="27"/>
    </row>
    <row r="365" spans="1:8" x14ac:dyDescent="0.25">
      <c r="A365" s="20"/>
      <c r="B365" s="52"/>
      <c r="C365" s="69" t="s">
        <v>349</v>
      </c>
      <c r="D365" s="66"/>
      <c r="E365" s="66" t="s">
        <v>0</v>
      </c>
      <c r="F365" s="23">
        <f>'[1]Valores ESTEC'!G207</f>
        <v>3798.75</v>
      </c>
      <c r="G365" s="22">
        <f t="shared" si="10"/>
        <v>0</v>
      </c>
      <c r="H365" s="42"/>
    </row>
    <row r="366" spans="1:8" x14ac:dyDescent="0.25">
      <c r="A366" s="20"/>
      <c r="B366" s="52"/>
      <c r="C366" s="70" t="s">
        <v>350</v>
      </c>
      <c r="D366" s="68"/>
      <c r="E366" s="68" t="s">
        <v>0</v>
      </c>
      <c r="F366" s="29">
        <f>'[1]Valores ESTEC'!G208</f>
        <v>3798.75</v>
      </c>
      <c r="G366" s="28">
        <f t="shared" si="10"/>
        <v>0</v>
      </c>
      <c r="H366" s="27"/>
    </row>
    <row r="367" spans="1:8" x14ac:dyDescent="0.25">
      <c r="A367" s="20"/>
      <c r="B367" s="52"/>
      <c r="C367" s="69" t="s">
        <v>351</v>
      </c>
      <c r="D367" s="66"/>
      <c r="E367" s="66" t="s">
        <v>0</v>
      </c>
      <c r="F367" s="23">
        <f>'[1]Valores ESTEC'!G209</f>
        <v>128675</v>
      </c>
      <c r="G367" s="22">
        <f t="shared" si="10"/>
        <v>0</v>
      </c>
      <c r="H367" s="42"/>
    </row>
    <row r="368" spans="1:8" x14ac:dyDescent="0.25">
      <c r="A368" s="20"/>
      <c r="B368" s="52"/>
      <c r="C368" s="70" t="s">
        <v>352</v>
      </c>
      <c r="D368" s="68"/>
      <c r="E368" s="68" t="s">
        <v>0</v>
      </c>
      <c r="F368" s="29">
        <f>'[1]Valores ESTEC'!G210</f>
        <v>20262.5</v>
      </c>
      <c r="G368" s="28">
        <f t="shared" si="10"/>
        <v>0</v>
      </c>
      <c r="H368" s="27"/>
    </row>
    <row r="369" spans="1:8" x14ac:dyDescent="0.25">
      <c r="A369" s="20"/>
      <c r="B369" s="52"/>
      <c r="C369" s="69" t="s">
        <v>353</v>
      </c>
      <c r="D369" s="66"/>
      <c r="E369" s="66" t="s">
        <v>0</v>
      </c>
      <c r="F369" s="23">
        <f>'[1]Valores ESTEC'!G431</f>
        <v>5925</v>
      </c>
      <c r="G369" s="22">
        <f t="shared" si="10"/>
        <v>0</v>
      </c>
      <c r="H369" s="42"/>
    </row>
    <row r="370" spans="1:8" x14ac:dyDescent="0.25">
      <c r="A370" s="20"/>
      <c r="B370" s="52"/>
      <c r="C370" s="70" t="s">
        <v>354</v>
      </c>
      <c r="D370" s="68"/>
      <c r="E370" s="68" t="s">
        <v>0</v>
      </c>
      <c r="F370" s="29">
        <f>'[1]Valores ESTEC'!G434</f>
        <v>761.25</v>
      </c>
      <c r="G370" s="28">
        <f t="shared" si="10"/>
        <v>0</v>
      </c>
      <c r="H370" s="27"/>
    </row>
    <row r="371" spans="1:8" x14ac:dyDescent="0.25">
      <c r="A371" s="20"/>
      <c r="B371" s="52"/>
      <c r="C371" s="69" t="s">
        <v>355</v>
      </c>
      <c r="D371" s="66"/>
      <c r="E371" s="66" t="s">
        <v>0</v>
      </c>
      <c r="F371" s="23">
        <f>'[1]Valores ESTEC'!G249</f>
        <v>181747.5</v>
      </c>
      <c r="G371" s="22">
        <f t="shared" si="10"/>
        <v>0</v>
      </c>
      <c r="H371" s="42"/>
    </row>
    <row r="372" spans="1:8" x14ac:dyDescent="0.25">
      <c r="A372" s="20"/>
      <c r="B372" s="52"/>
      <c r="C372" s="70" t="s">
        <v>356</v>
      </c>
      <c r="D372" s="68"/>
      <c r="E372" s="68" t="s">
        <v>0</v>
      </c>
      <c r="F372" s="29">
        <f>'[1]Valores ESTEC'!G250</f>
        <v>230323.75</v>
      </c>
      <c r="G372" s="28">
        <f t="shared" si="10"/>
        <v>0</v>
      </c>
      <c r="H372" s="27"/>
    </row>
    <row r="373" spans="1:8" x14ac:dyDescent="0.25">
      <c r="A373" s="20"/>
      <c r="B373" s="52"/>
      <c r="C373" s="69" t="s">
        <v>357</v>
      </c>
      <c r="D373" s="66"/>
      <c r="E373" s="66" t="s">
        <v>0</v>
      </c>
      <c r="F373" s="23">
        <f>'[1]Valores ESTEC'!G251</f>
        <v>106563.75</v>
      </c>
      <c r="G373" s="22">
        <f t="shared" si="10"/>
        <v>0</v>
      </c>
      <c r="H373" s="42"/>
    </row>
    <row r="374" spans="1:8" x14ac:dyDescent="0.25">
      <c r="A374" s="20"/>
      <c r="B374" s="52"/>
      <c r="C374" s="70" t="s">
        <v>358</v>
      </c>
      <c r="D374" s="68"/>
      <c r="E374" s="68" t="s">
        <v>0</v>
      </c>
      <c r="F374" s="29">
        <f>'[1]Valores ESTEC'!G252</f>
        <v>98883.75</v>
      </c>
      <c r="G374" s="28">
        <f t="shared" si="10"/>
        <v>0</v>
      </c>
      <c r="H374" s="27"/>
    </row>
    <row r="375" spans="1:8" x14ac:dyDescent="0.25">
      <c r="A375" s="20"/>
      <c r="B375" s="52"/>
      <c r="C375" s="69" t="s">
        <v>359</v>
      </c>
      <c r="D375" s="66"/>
      <c r="E375" s="66" t="s">
        <v>0</v>
      </c>
      <c r="F375" s="23">
        <f>'[1]Valores ESTEC'!G253</f>
        <v>150757.5</v>
      </c>
      <c r="G375" s="22">
        <f t="shared" si="10"/>
        <v>0</v>
      </c>
      <c r="H375" s="42"/>
    </row>
    <row r="376" spans="1:8" x14ac:dyDescent="0.25">
      <c r="A376" s="20"/>
      <c r="B376" s="52"/>
      <c r="C376" s="70" t="s">
        <v>360</v>
      </c>
      <c r="D376" s="68"/>
      <c r="E376" s="68" t="s">
        <v>0</v>
      </c>
      <c r="F376" s="29">
        <f>'[1]Valores ESTEC'!G254</f>
        <v>129013.75</v>
      </c>
      <c r="G376" s="28">
        <f t="shared" si="10"/>
        <v>0</v>
      </c>
      <c r="H376" s="27"/>
    </row>
    <row r="377" spans="1:8" x14ac:dyDescent="0.25">
      <c r="A377" s="20"/>
      <c r="B377" s="52"/>
      <c r="C377" s="69" t="s">
        <v>83</v>
      </c>
      <c r="D377" s="66"/>
      <c r="E377" s="66" t="s">
        <v>0</v>
      </c>
      <c r="F377" s="23">
        <f>'[1]Valores ESTEC'!G255</f>
        <v>60507.5</v>
      </c>
      <c r="G377" s="22">
        <f t="shared" si="10"/>
        <v>0</v>
      </c>
      <c r="H377" s="42"/>
    </row>
    <row r="378" spans="1:8" x14ac:dyDescent="0.25">
      <c r="A378" s="20"/>
      <c r="B378" s="52"/>
      <c r="C378" s="70" t="s">
        <v>84</v>
      </c>
      <c r="D378" s="68"/>
      <c r="E378" s="68" t="s">
        <v>0</v>
      </c>
      <c r="F378" s="29">
        <f>'[1]Valores ESTEC'!G256</f>
        <v>269253.75</v>
      </c>
      <c r="G378" s="28">
        <f t="shared" si="10"/>
        <v>0</v>
      </c>
      <c r="H378" s="27"/>
    </row>
    <row r="379" spans="1:8" x14ac:dyDescent="0.25">
      <c r="A379" s="20"/>
      <c r="B379" s="52"/>
      <c r="C379" s="69" t="s">
        <v>90</v>
      </c>
      <c r="D379" s="66"/>
      <c r="E379" s="66" t="s">
        <v>0</v>
      </c>
      <c r="F379" s="23">
        <f>'[1]Valores ESTEC'!G257</f>
        <v>448857.5</v>
      </c>
      <c r="G379" s="22">
        <f t="shared" si="10"/>
        <v>0</v>
      </c>
      <c r="H379" s="42"/>
    </row>
    <row r="380" spans="1:8" x14ac:dyDescent="0.25">
      <c r="A380" s="20"/>
      <c r="B380" s="52"/>
      <c r="C380" s="70" t="s">
        <v>89</v>
      </c>
      <c r="D380" s="68"/>
      <c r="E380" s="68" t="s">
        <v>0</v>
      </c>
      <c r="F380" s="29">
        <f>'[1]Valores ESTEC'!G258</f>
        <v>588272.5</v>
      </c>
      <c r="G380" s="28">
        <f t="shared" si="10"/>
        <v>0</v>
      </c>
      <c r="H380" s="27"/>
    </row>
    <row r="381" spans="1:8" x14ac:dyDescent="0.25">
      <c r="A381" s="20"/>
      <c r="B381" s="52"/>
      <c r="C381" s="69" t="s">
        <v>361</v>
      </c>
      <c r="D381" s="66"/>
      <c r="E381" s="66" t="s">
        <v>0</v>
      </c>
      <c r="F381" s="23">
        <f>'[1]Valores ESTEC'!G259</f>
        <v>1836043.75</v>
      </c>
      <c r="G381" s="22">
        <f t="shared" si="10"/>
        <v>0</v>
      </c>
      <c r="H381" s="42"/>
    </row>
    <row r="382" spans="1:8" x14ac:dyDescent="0.25">
      <c r="A382" s="20"/>
      <c r="B382" s="52"/>
      <c r="C382" s="70" t="s">
        <v>81</v>
      </c>
      <c r="D382" s="68"/>
      <c r="E382" s="68" t="s">
        <v>0</v>
      </c>
      <c r="F382" s="29">
        <f>'[1]Valores ESTEC'!G260</f>
        <v>1503396.25</v>
      </c>
      <c r="G382" s="28">
        <f t="shared" si="10"/>
        <v>0</v>
      </c>
      <c r="H382" s="27"/>
    </row>
    <row r="383" spans="1:8" x14ac:dyDescent="0.25">
      <c r="A383" s="20"/>
      <c r="B383" s="52"/>
      <c r="C383" s="69" t="s">
        <v>60</v>
      </c>
      <c r="D383" s="66"/>
      <c r="E383" s="66" t="s">
        <v>0</v>
      </c>
      <c r="F383" s="23">
        <f>'[1]Valores ESTEC'!G261</f>
        <v>1536460</v>
      </c>
      <c r="G383" s="22">
        <f t="shared" si="10"/>
        <v>0</v>
      </c>
      <c r="H383" s="42"/>
    </row>
    <row r="384" spans="1:8" x14ac:dyDescent="0.25">
      <c r="A384" s="20"/>
      <c r="B384" s="52"/>
      <c r="C384" s="70" t="s">
        <v>362</v>
      </c>
      <c r="D384" s="68"/>
      <c r="E384" s="68" t="s">
        <v>0</v>
      </c>
      <c r="F384" s="29">
        <f>'[1]Valores ESTEC'!G262</f>
        <v>1120053.75</v>
      </c>
      <c r="G384" s="28">
        <f t="shared" si="10"/>
        <v>0</v>
      </c>
      <c r="H384" s="27"/>
    </row>
    <row r="385" spans="1:8" x14ac:dyDescent="0.25">
      <c r="A385" s="20"/>
      <c r="B385" s="52"/>
      <c r="C385" s="69" t="s">
        <v>363</v>
      </c>
      <c r="D385" s="66"/>
      <c r="E385" s="66" t="s">
        <v>0</v>
      </c>
      <c r="F385" s="23">
        <f>'[1]Valores ESTEC'!G263</f>
        <v>121333.75</v>
      </c>
      <c r="G385" s="22">
        <f t="shared" si="10"/>
        <v>0</v>
      </c>
      <c r="H385" s="42"/>
    </row>
    <row r="386" spans="1:8" x14ac:dyDescent="0.25">
      <c r="A386" s="20"/>
      <c r="B386" s="52"/>
      <c r="C386" s="70" t="s">
        <v>91</v>
      </c>
      <c r="D386" s="68"/>
      <c r="E386" s="68" t="s">
        <v>0</v>
      </c>
      <c r="F386" s="29">
        <f>'[1]Valores ESTEC'!G264</f>
        <v>46632.5</v>
      </c>
      <c r="G386" s="28">
        <f t="shared" si="10"/>
        <v>0</v>
      </c>
      <c r="H386" s="27"/>
    </row>
    <row r="387" spans="1:8" x14ac:dyDescent="0.25">
      <c r="A387" s="20"/>
      <c r="B387" s="52"/>
      <c r="C387" s="69" t="s">
        <v>364</v>
      </c>
      <c r="D387" s="66"/>
      <c r="E387" s="66" t="s">
        <v>0</v>
      </c>
      <c r="F387" s="23">
        <f>'[1]Valores ESTEC'!G265</f>
        <v>1472.5</v>
      </c>
      <c r="G387" s="22">
        <f t="shared" si="10"/>
        <v>0</v>
      </c>
      <c r="H387" s="42"/>
    </row>
    <row r="388" spans="1:8" x14ac:dyDescent="0.25">
      <c r="A388" s="20"/>
      <c r="B388" s="52"/>
      <c r="C388" s="70" t="s">
        <v>365</v>
      </c>
      <c r="D388" s="68"/>
      <c r="E388" s="68" t="s">
        <v>0</v>
      </c>
      <c r="F388" s="29">
        <v>15598</v>
      </c>
      <c r="G388" s="28">
        <f t="shared" si="10"/>
        <v>0</v>
      </c>
      <c r="H388" s="27"/>
    </row>
    <row r="389" spans="1:8" x14ac:dyDescent="0.25">
      <c r="A389" s="20"/>
      <c r="B389" s="52"/>
      <c r="C389" s="69" t="s">
        <v>88</v>
      </c>
      <c r="D389" s="66"/>
      <c r="E389" s="66" t="s">
        <v>0</v>
      </c>
      <c r="F389" s="23">
        <v>1548</v>
      </c>
      <c r="G389" s="22">
        <f t="shared" si="10"/>
        <v>0</v>
      </c>
      <c r="H389" s="42"/>
    </row>
    <row r="390" spans="1:8" x14ac:dyDescent="0.25">
      <c r="A390" s="20"/>
      <c r="B390" s="52"/>
      <c r="C390" s="70" t="s">
        <v>366</v>
      </c>
      <c r="D390" s="68"/>
      <c r="E390" s="68" t="s">
        <v>0</v>
      </c>
      <c r="F390" s="29">
        <v>23521</v>
      </c>
      <c r="G390" s="28">
        <f t="shared" si="10"/>
        <v>0</v>
      </c>
      <c r="H390" s="27"/>
    </row>
    <row r="391" spans="1:8" x14ac:dyDescent="0.25">
      <c r="A391" s="20"/>
      <c r="B391" s="52"/>
      <c r="C391" s="69" t="s">
        <v>367</v>
      </c>
      <c r="D391" s="66"/>
      <c r="E391" s="66" t="s">
        <v>0</v>
      </c>
      <c r="F391" s="23">
        <v>23521</v>
      </c>
      <c r="G391" s="22">
        <f t="shared" si="10"/>
        <v>0</v>
      </c>
      <c r="H391" s="42"/>
    </row>
    <row r="392" spans="1:8" x14ac:dyDescent="0.25">
      <c r="A392" s="20"/>
      <c r="B392" s="52"/>
      <c r="C392" s="70" t="s">
        <v>368</v>
      </c>
      <c r="D392" s="68"/>
      <c r="E392" s="68" t="s">
        <v>0</v>
      </c>
      <c r="F392" s="29">
        <v>2998</v>
      </c>
      <c r="G392" s="28">
        <f t="shared" si="10"/>
        <v>0</v>
      </c>
      <c r="H392" s="27"/>
    </row>
    <row r="393" spans="1:8" x14ac:dyDescent="0.25">
      <c r="A393" s="20"/>
      <c r="B393" s="52"/>
      <c r="C393" s="69" t="s">
        <v>369</v>
      </c>
      <c r="D393" s="66"/>
      <c r="E393" s="66" t="s">
        <v>0</v>
      </c>
      <c r="F393" s="23">
        <f>'[1]Valores ESTEC'!G56</f>
        <v>10247.5</v>
      </c>
      <c r="G393" s="22">
        <f t="shared" si="10"/>
        <v>0</v>
      </c>
      <c r="H393" s="42"/>
    </row>
    <row r="394" spans="1:8" x14ac:dyDescent="0.25">
      <c r="A394" s="20"/>
      <c r="B394" s="52"/>
      <c r="C394" s="70" t="s">
        <v>370</v>
      </c>
      <c r="D394" s="68"/>
      <c r="E394" s="68" t="s">
        <v>0</v>
      </c>
      <c r="F394" s="29">
        <f>'[1]Valores ESTEC'!G184</f>
        <v>901060</v>
      </c>
      <c r="G394" s="28">
        <f t="shared" si="10"/>
        <v>0</v>
      </c>
      <c r="H394" s="27"/>
    </row>
    <row r="395" spans="1:8" x14ac:dyDescent="0.25">
      <c r="A395" s="20"/>
      <c r="B395" s="52"/>
      <c r="C395" s="69" t="s">
        <v>371</v>
      </c>
      <c r="D395" s="66"/>
      <c r="E395" s="66" t="s">
        <v>0</v>
      </c>
      <c r="F395" s="23">
        <v>350000</v>
      </c>
      <c r="G395" s="22">
        <f t="shared" si="10"/>
        <v>0</v>
      </c>
      <c r="H395" s="42"/>
    </row>
    <row r="396" spans="1:8" x14ac:dyDescent="0.25">
      <c r="A396" s="20"/>
      <c r="B396" s="52"/>
      <c r="C396" s="70" t="s">
        <v>372</v>
      </c>
      <c r="D396" s="68"/>
      <c r="E396" s="68"/>
      <c r="F396" s="29"/>
      <c r="G396" s="28">
        <f t="shared" si="10"/>
        <v>0</v>
      </c>
      <c r="H396" s="27"/>
    </row>
    <row r="397" spans="1:8" x14ac:dyDescent="0.25">
      <c r="A397" s="20"/>
      <c r="B397" s="52"/>
      <c r="C397" s="69" t="s">
        <v>373</v>
      </c>
      <c r="D397" s="66"/>
      <c r="E397" s="66"/>
      <c r="F397" s="23"/>
      <c r="G397" s="22">
        <f t="shared" si="10"/>
        <v>0</v>
      </c>
      <c r="H397" s="42"/>
    </row>
    <row r="398" spans="1:8" x14ac:dyDescent="0.25">
      <c r="A398" s="20"/>
      <c r="B398" s="52"/>
      <c r="C398" s="70" t="s">
        <v>374</v>
      </c>
      <c r="D398" s="68"/>
      <c r="E398" s="68"/>
      <c r="F398" s="29"/>
      <c r="G398" s="28">
        <f t="shared" si="10"/>
        <v>0</v>
      </c>
      <c r="H398" s="27"/>
    </row>
    <row r="399" spans="1:8" x14ac:dyDescent="0.25">
      <c r="A399" s="20"/>
      <c r="B399" s="52"/>
      <c r="C399" s="69" t="s">
        <v>375</v>
      </c>
      <c r="D399" s="66"/>
      <c r="E399" s="66"/>
      <c r="F399" s="23"/>
      <c r="G399" s="22">
        <f t="shared" si="10"/>
        <v>0</v>
      </c>
      <c r="H399" s="42"/>
    </row>
    <row r="400" spans="1:8" x14ac:dyDescent="0.25">
      <c r="A400" s="20"/>
      <c r="B400" s="52"/>
      <c r="C400" s="70" t="s">
        <v>376</v>
      </c>
      <c r="D400" s="68"/>
      <c r="E400" s="68"/>
      <c r="F400" s="29"/>
      <c r="G400" s="28">
        <f t="shared" si="10"/>
        <v>0</v>
      </c>
      <c r="H400" s="27"/>
    </row>
    <row r="401" spans="1:9" x14ac:dyDescent="0.25">
      <c r="A401" s="20"/>
      <c r="B401" s="52"/>
      <c r="C401" s="69"/>
      <c r="D401" s="66"/>
      <c r="E401" s="66"/>
      <c r="F401" s="23"/>
      <c r="G401" s="22">
        <f t="shared" si="10"/>
        <v>0</v>
      </c>
      <c r="H401" s="42"/>
    </row>
    <row r="402" spans="1:9" x14ac:dyDescent="0.25">
      <c r="A402" s="20"/>
      <c r="B402" s="52"/>
      <c r="C402" s="61"/>
      <c r="D402" s="68"/>
      <c r="E402" s="68"/>
      <c r="F402" s="29"/>
      <c r="G402" s="28">
        <f t="shared" si="10"/>
        <v>0</v>
      </c>
      <c r="H402" s="27"/>
    </row>
    <row r="403" spans="1:9" x14ac:dyDescent="0.25">
      <c r="A403" s="20"/>
      <c r="B403" s="52"/>
      <c r="C403" s="51"/>
      <c r="D403" s="66"/>
      <c r="E403" s="66"/>
      <c r="F403" s="23"/>
      <c r="G403" s="22">
        <f t="shared" si="10"/>
        <v>0</v>
      </c>
      <c r="H403" s="42"/>
    </row>
    <row r="404" spans="1:9" x14ac:dyDescent="0.25">
      <c r="A404" s="20"/>
      <c r="B404" s="52"/>
      <c r="C404" s="61"/>
      <c r="D404" s="68"/>
      <c r="E404" s="68"/>
      <c r="F404" s="29"/>
      <c r="G404" s="28">
        <f t="shared" si="10"/>
        <v>0</v>
      </c>
      <c r="H404" s="27"/>
    </row>
    <row r="405" spans="1:9" x14ac:dyDescent="0.25">
      <c r="A405" s="20"/>
      <c r="B405" s="52"/>
      <c r="C405" s="51"/>
      <c r="D405" s="66"/>
      <c r="E405" s="66"/>
      <c r="F405" s="23"/>
      <c r="G405" s="22">
        <f t="shared" si="10"/>
        <v>0</v>
      </c>
      <c r="H405" s="42"/>
    </row>
    <row r="406" spans="1:9" x14ac:dyDescent="0.25">
      <c r="A406" s="20"/>
      <c r="B406" s="52"/>
      <c r="C406" s="61"/>
      <c r="D406" s="68"/>
      <c r="E406" s="68"/>
      <c r="F406" s="29"/>
      <c r="G406" s="28">
        <f t="shared" ref="G406:G411" si="11">F406*D406</f>
        <v>0</v>
      </c>
      <c r="H406" s="27"/>
    </row>
    <row r="407" spans="1:9" x14ac:dyDescent="0.25">
      <c r="A407" s="20"/>
      <c r="B407" s="52"/>
      <c r="C407" s="51"/>
      <c r="D407" s="66"/>
      <c r="E407" s="66"/>
      <c r="F407" s="23"/>
      <c r="G407" s="22">
        <f t="shared" si="11"/>
        <v>0</v>
      </c>
      <c r="H407" s="42"/>
    </row>
    <row r="408" spans="1:9" x14ac:dyDescent="0.25">
      <c r="A408" s="20"/>
      <c r="B408" s="52"/>
      <c r="C408" s="61"/>
      <c r="D408" s="68"/>
      <c r="E408" s="68"/>
      <c r="F408" s="29"/>
      <c r="G408" s="28">
        <f t="shared" si="11"/>
        <v>0</v>
      </c>
      <c r="H408" s="27"/>
    </row>
    <row r="409" spans="1:9" x14ac:dyDescent="0.25">
      <c r="A409" s="20"/>
      <c r="B409" s="52"/>
      <c r="C409" s="62"/>
      <c r="D409" s="66"/>
      <c r="E409" s="66"/>
      <c r="F409" s="23"/>
      <c r="G409" s="22">
        <f t="shared" si="11"/>
        <v>0</v>
      </c>
      <c r="H409" s="42"/>
    </row>
    <row r="410" spans="1:9" x14ac:dyDescent="0.25">
      <c r="A410" s="20"/>
      <c r="B410" s="52"/>
      <c r="C410" s="61"/>
      <c r="D410" s="68"/>
      <c r="E410" s="68"/>
      <c r="F410" s="29"/>
      <c r="G410" s="28">
        <f t="shared" si="11"/>
        <v>0</v>
      </c>
      <c r="H410" s="27"/>
    </row>
    <row r="411" spans="1:9" ht="15.75" thickBot="1" x14ac:dyDescent="0.3">
      <c r="A411" s="20"/>
      <c r="B411" s="52"/>
      <c r="C411" s="67"/>
      <c r="D411" s="66"/>
      <c r="E411" s="66"/>
      <c r="F411" s="50"/>
      <c r="G411" s="22">
        <f t="shared" si="11"/>
        <v>0</v>
      </c>
      <c r="H411" s="42"/>
    </row>
    <row r="412" spans="1:9" ht="15.75" thickBot="1" x14ac:dyDescent="0.3">
      <c r="A412" s="20"/>
      <c r="B412" s="65" t="s">
        <v>79</v>
      </c>
      <c r="C412" s="53"/>
      <c r="D412" s="47"/>
      <c r="E412" s="47"/>
      <c r="F412" s="46"/>
      <c r="G412" s="45"/>
      <c r="H412" s="64"/>
      <c r="I412" s="3"/>
    </row>
    <row r="413" spans="1:9" x14ac:dyDescent="0.25">
      <c r="A413" s="20"/>
      <c r="B413" s="60"/>
      <c r="C413" s="63" t="s">
        <v>66</v>
      </c>
      <c r="D413" s="35"/>
      <c r="E413" s="35" t="s">
        <v>4</v>
      </c>
      <c r="F413" s="34">
        <f>'[1]Valores ESTEC'!G107</f>
        <v>48340</v>
      </c>
      <c r="G413" s="33">
        <f>F413*D413</f>
        <v>0</v>
      </c>
      <c r="H413" s="42"/>
    </row>
    <row r="414" spans="1:9" x14ac:dyDescent="0.25">
      <c r="A414" s="20"/>
      <c r="B414" s="60"/>
      <c r="C414" s="53" t="s">
        <v>52</v>
      </c>
      <c r="D414" s="30"/>
      <c r="E414" s="30" t="s">
        <v>0</v>
      </c>
      <c r="F414" s="29">
        <f>'[1]Valores ESTEC'!G290</f>
        <v>53923.75</v>
      </c>
      <c r="G414" s="28">
        <f>F414*D414</f>
        <v>0</v>
      </c>
      <c r="H414" s="27"/>
    </row>
    <row r="415" spans="1:9" x14ac:dyDescent="0.25">
      <c r="A415" s="20"/>
      <c r="B415" s="60"/>
      <c r="C415" s="62" t="s">
        <v>77</v>
      </c>
      <c r="D415" s="24"/>
      <c r="E415" s="24" t="s">
        <v>0</v>
      </c>
      <c r="F415" s="23">
        <f>'[1]Valores ESTEC'!G435</f>
        <v>108553.75</v>
      </c>
      <c r="G415" s="22">
        <f>F415*D415</f>
        <v>0</v>
      </c>
      <c r="H415" s="42"/>
    </row>
    <row r="416" spans="1:9" x14ac:dyDescent="0.25">
      <c r="A416" s="20"/>
      <c r="B416" s="60"/>
      <c r="C416" s="53" t="s">
        <v>76</v>
      </c>
      <c r="D416" s="30"/>
      <c r="E416" s="30" t="s">
        <v>0</v>
      </c>
      <c r="F416" s="29">
        <v>75000</v>
      </c>
      <c r="G416" s="28">
        <f>F416*D416</f>
        <v>0</v>
      </c>
      <c r="H416" s="27"/>
    </row>
    <row r="417" spans="1:8" x14ac:dyDescent="0.25">
      <c r="A417" s="20"/>
      <c r="B417" s="60"/>
      <c r="C417" s="62" t="s">
        <v>377</v>
      </c>
      <c r="D417" s="24"/>
      <c r="E417" s="24" t="s">
        <v>0</v>
      </c>
      <c r="F417" s="23">
        <v>9500</v>
      </c>
      <c r="G417" s="22">
        <f t="shared" ref="G417:G464" si="12">F417*D417</f>
        <v>0</v>
      </c>
      <c r="H417" s="42"/>
    </row>
    <row r="418" spans="1:8" x14ac:dyDescent="0.25">
      <c r="A418" s="20"/>
      <c r="B418" s="60"/>
      <c r="C418" s="61" t="s">
        <v>378</v>
      </c>
      <c r="D418" s="30"/>
      <c r="E418" s="30" t="s">
        <v>0</v>
      </c>
      <c r="F418" s="29">
        <v>5745</v>
      </c>
      <c r="G418" s="28">
        <f t="shared" si="12"/>
        <v>0</v>
      </c>
      <c r="H418" s="27"/>
    </row>
    <row r="419" spans="1:8" x14ac:dyDescent="0.25">
      <c r="A419" s="20"/>
      <c r="B419" s="60"/>
      <c r="C419" s="62" t="s">
        <v>379</v>
      </c>
      <c r="D419" s="24"/>
      <c r="E419" s="24" t="s">
        <v>0</v>
      </c>
      <c r="F419" s="23">
        <v>6000</v>
      </c>
      <c r="G419" s="22">
        <f t="shared" si="12"/>
        <v>0</v>
      </c>
      <c r="H419" s="42"/>
    </row>
    <row r="420" spans="1:8" x14ac:dyDescent="0.25">
      <c r="A420" s="20"/>
      <c r="B420" s="60"/>
      <c r="C420" s="53" t="s">
        <v>380</v>
      </c>
      <c r="D420" s="30"/>
      <c r="E420" s="30" t="s">
        <v>0</v>
      </c>
      <c r="F420" s="29">
        <v>6214</v>
      </c>
      <c r="G420" s="28">
        <f t="shared" si="12"/>
        <v>0</v>
      </c>
      <c r="H420" s="27"/>
    </row>
    <row r="421" spans="1:8" x14ac:dyDescent="0.25">
      <c r="A421" s="20"/>
      <c r="B421" s="60"/>
      <c r="C421" s="51" t="s">
        <v>381</v>
      </c>
      <c r="D421" s="24"/>
      <c r="E421" s="24" t="s">
        <v>0</v>
      </c>
      <c r="F421" s="23">
        <v>6542</v>
      </c>
      <c r="G421" s="22">
        <f t="shared" si="12"/>
        <v>0</v>
      </c>
      <c r="H421" s="42"/>
    </row>
    <row r="422" spans="1:8" x14ac:dyDescent="0.25">
      <c r="A422" s="20"/>
      <c r="B422" s="60"/>
      <c r="C422" s="61" t="s">
        <v>382</v>
      </c>
      <c r="D422" s="30"/>
      <c r="E422" s="30" t="s">
        <v>0</v>
      </c>
      <c r="F422" s="29">
        <v>4065</v>
      </c>
      <c r="G422" s="28">
        <f t="shared" si="12"/>
        <v>0</v>
      </c>
      <c r="H422" s="27"/>
    </row>
    <row r="423" spans="1:8" x14ac:dyDescent="0.25">
      <c r="A423" s="20"/>
      <c r="B423" s="60"/>
      <c r="C423" s="51" t="s">
        <v>50</v>
      </c>
      <c r="D423" s="24"/>
      <c r="E423" s="24" t="s">
        <v>0</v>
      </c>
      <c r="F423" s="23">
        <v>6214</v>
      </c>
      <c r="G423" s="22">
        <f t="shared" si="12"/>
        <v>0</v>
      </c>
      <c r="H423" s="42"/>
    </row>
    <row r="424" spans="1:8" x14ac:dyDescent="0.25">
      <c r="A424" s="20"/>
      <c r="B424" s="60"/>
      <c r="C424" s="61" t="s">
        <v>73</v>
      </c>
      <c r="D424" s="30"/>
      <c r="E424" s="30" t="s">
        <v>0</v>
      </c>
      <c r="F424" s="29">
        <v>3085</v>
      </c>
      <c r="G424" s="28">
        <f t="shared" si="12"/>
        <v>0</v>
      </c>
      <c r="H424" s="27"/>
    </row>
    <row r="425" spans="1:8" x14ac:dyDescent="0.25">
      <c r="A425" s="20"/>
      <c r="B425" s="60"/>
      <c r="C425" s="51" t="s">
        <v>72</v>
      </c>
      <c r="D425" s="24"/>
      <c r="E425" s="24" t="s">
        <v>0</v>
      </c>
      <c r="F425" s="23">
        <v>2985</v>
      </c>
      <c r="G425" s="22">
        <f t="shared" si="12"/>
        <v>0</v>
      </c>
      <c r="H425" s="42"/>
    </row>
    <row r="426" spans="1:8" x14ac:dyDescent="0.25">
      <c r="A426" s="20"/>
      <c r="B426" s="60"/>
      <c r="C426" s="61" t="s">
        <v>67</v>
      </c>
      <c r="D426" s="30"/>
      <c r="E426" s="30" t="s">
        <v>0</v>
      </c>
      <c r="F426" s="29">
        <v>25000</v>
      </c>
      <c r="G426" s="28">
        <f t="shared" si="12"/>
        <v>0</v>
      </c>
      <c r="H426" s="27"/>
    </row>
    <row r="427" spans="1:8" x14ac:dyDescent="0.25">
      <c r="A427" s="20"/>
      <c r="B427" s="60"/>
      <c r="C427" s="62" t="s">
        <v>78</v>
      </c>
      <c r="D427" s="24"/>
      <c r="E427" s="24" t="s">
        <v>0</v>
      </c>
      <c r="F427" s="23">
        <v>116000</v>
      </c>
      <c r="G427" s="22">
        <f t="shared" si="12"/>
        <v>0</v>
      </c>
      <c r="H427" s="42"/>
    </row>
    <row r="428" spans="1:8" x14ac:dyDescent="0.25">
      <c r="A428" s="20"/>
      <c r="B428" s="60"/>
      <c r="C428" s="53" t="s">
        <v>383</v>
      </c>
      <c r="D428" s="30"/>
      <c r="E428" s="30" t="s">
        <v>0</v>
      </c>
      <c r="F428" s="29">
        <v>255854</v>
      </c>
      <c r="G428" s="28">
        <f t="shared" si="12"/>
        <v>0</v>
      </c>
      <c r="H428" s="27"/>
    </row>
    <row r="429" spans="1:8" x14ac:dyDescent="0.25">
      <c r="A429" s="20"/>
      <c r="B429" s="60"/>
      <c r="C429" s="62" t="s">
        <v>384</v>
      </c>
      <c r="D429" s="24"/>
      <c r="E429" s="24" t="s">
        <v>0</v>
      </c>
      <c r="F429" s="23">
        <v>15854</v>
      </c>
      <c r="G429" s="22">
        <f t="shared" si="12"/>
        <v>0</v>
      </c>
      <c r="H429" s="42"/>
    </row>
    <row r="430" spans="1:8" x14ac:dyDescent="0.25">
      <c r="A430" s="20"/>
      <c r="B430" s="60"/>
      <c r="C430" s="61" t="s">
        <v>385</v>
      </c>
      <c r="D430" s="30"/>
      <c r="E430" s="30" t="s">
        <v>0</v>
      </c>
      <c r="F430" s="29">
        <v>9000</v>
      </c>
      <c r="G430" s="28">
        <f t="shared" si="12"/>
        <v>0</v>
      </c>
      <c r="H430" s="27"/>
    </row>
    <row r="431" spans="1:8" x14ac:dyDescent="0.25">
      <c r="A431" s="20"/>
      <c r="B431" s="60"/>
      <c r="C431" s="51" t="s">
        <v>386</v>
      </c>
      <c r="D431" s="24"/>
      <c r="E431" s="24" t="s">
        <v>0</v>
      </c>
      <c r="F431" s="23">
        <v>9000</v>
      </c>
      <c r="G431" s="22">
        <f t="shared" si="12"/>
        <v>0</v>
      </c>
      <c r="H431" s="42"/>
    </row>
    <row r="432" spans="1:8" x14ac:dyDescent="0.25">
      <c r="A432" s="20"/>
      <c r="B432" s="60"/>
      <c r="C432" s="53" t="s">
        <v>387</v>
      </c>
      <c r="D432" s="30"/>
      <c r="E432" s="30" t="s">
        <v>0</v>
      </c>
      <c r="F432" s="29">
        <v>30000</v>
      </c>
      <c r="G432" s="28">
        <f t="shared" si="12"/>
        <v>0</v>
      </c>
      <c r="H432" s="27"/>
    </row>
    <row r="433" spans="1:8" x14ac:dyDescent="0.25">
      <c r="A433" s="20"/>
      <c r="B433" s="60"/>
      <c r="C433" s="51" t="s">
        <v>388</v>
      </c>
      <c r="D433" s="66"/>
      <c r="E433" s="66" t="s">
        <v>4</v>
      </c>
      <c r="F433" s="23">
        <v>2700</v>
      </c>
      <c r="G433" s="22">
        <f t="shared" si="12"/>
        <v>0</v>
      </c>
      <c r="H433" s="42"/>
    </row>
    <row r="434" spans="1:8" x14ac:dyDescent="0.25">
      <c r="A434" s="20"/>
      <c r="B434" s="60"/>
      <c r="C434" s="61" t="s">
        <v>389</v>
      </c>
      <c r="D434" s="30"/>
      <c r="E434" s="30"/>
      <c r="F434" s="29"/>
      <c r="G434" s="28">
        <f t="shared" si="12"/>
        <v>0</v>
      </c>
      <c r="H434" s="27"/>
    </row>
    <row r="435" spans="1:8" x14ac:dyDescent="0.25">
      <c r="A435" s="20"/>
      <c r="B435" s="60"/>
      <c r="C435" s="51" t="s">
        <v>390</v>
      </c>
      <c r="D435" s="66"/>
      <c r="E435" s="66"/>
      <c r="F435" s="23"/>
      <c r="G435" s="22">
        <f t="shared" si="12"/>
        <v>0</v>
      </c>
      <c r="H435" s="42"/>
    </row>
    <row r="436" spans="1:8" x14ac:dyDescent="0.25">
      <c r="A436" s="20"/>
      <c r="B436" s="60"/>
      <c r="C436" s="61" t="s">
        <v>391</v>
      </c>
      <c r="D436" s="30"/>
      <c r="E436" s="30"/>
      <c r="F436" s="29"/>
      <c r="G436" s="28">
        <f t="shared" ref="G436:G451" si="13">F436*D436</f>
        <v>0</v>
      </c>
      <c r="H436" s="27"/>
    </row>
    <row r="437" spans="1:8" x14ac:dyDescent="0.25">
      <c r="A437" s="20"/>
      <c r="B437" s="60"/>
      <c r="C437" s="51" t="s">
        <v>392</v>
      </c>
      <c r="D437" s="66"/>
      <c r="E437" s="66"/>
      <c r="F437" s="23"/>
      <c r="G437" s="22">
        <f t="shared" si="13"/>
        <v>0</v>
      </c>
      <c r="H437" s="42"/>
    </row>
    <row r="438" spans="1:8" x14ac:dyDescent="0.25">
      <c r="A438" s="20"/>
      <c r="B438" s="60"/>
      <c r="C438" s="61" t="s">
        <v>393</v>
      </c>
      <c r="D438" s="30"/>
      <c r="E438" s="30"/>
      <c r="F438" s="29"/>
      <c r="G438" s="28">
        <f t="shared" si="13"/>
        <v>0</v>
      </c>
      <c r="H438" s="27"/>
    </row>
    <row r="439" spans="1:8" x14ac:dyDescent="0.25">
      <c r="A439" s="20"/>
      <c r="B439" s="60"/>
      <c r="C439" s="51" t="s">
        <v>394</v>
      </c>
      <c r="D439" s="66"/>
      <c r="E439" s="66"/>
      <c r="F439" s="23"/>
      <c r="G439" s="22">
        <f t="shared" si="13"/>
        <v>0</v>
      </c>
      <c r="H439" s="42"/>
    </row>
    <row r="440" spans="1:8" x14ac:dyDescent="0.25">
      <c r="A440" s="20"/>
      <c r="B440" s="60"/>
      <c r="C440" s="61" t="s">
        <v>70</v>
      </c>
      <c r="D440" s="30"/>
      <c r="E440" s="30"/>
      <c r="F440" s="29"/>
      <c r="G440" s="28">
        <f t="shared" si="13"/>
        <v>0</v>
      </c>
      <c r="H440" s="27"/>
    </row>
    <row r="441" spans="1:8" x14ac:dyDescent="0.25">
      <c r="A441" s="20"/>
      <c r="B441" s="60"/>
      <c r="C441" s="51" t="s">
        <v>395</v>
      </c>
      <c r="D441" s="66"/>
      <c r="E441" s="66"/>
      <c r="F441" s="23"/>
      <c r="G441" s="22">
        <f t="shared" si="13"/>
        <v>0</v>
      </c>
      <c r="H441" s="42"/>
    </row>
    <row r="442" spans="1:8" x14ac:dyDescent="0.25">
      <c r="A442" s="20"/>
      <c r="B442" s="60"/>
      <c r="C442" s="61" t="s">
        <v>69</v>
      </c>
      <c r="D442" s="30"/>
      <c r="E442" s="30"/>
      <c r="F442" s="29"/>
      <c r="G442" s="28">
        <f t="shared" si="13"/>
        <v>0</v>
      </c>
      <c r="H442" s="27"/>
    </row>
    <row r="443" spans="1:8" x14ac:dyDescent="0.25">
      <c r="A443" s="20"/>
      <c r="B443" s="60"/>
      <c r="C443" s="51" t="s">
        <v>396</v>
      </c>
      <c r="D443" s="66"/>
      <c r="E443" s="66"/>
      <c r="F443" s="23"/>
      <c r="G443" s="22">
        <f t="shared" si="13"/>
        <v>0</v>
      </c>
      <c r="H443" s="42"/>
    </row>
    <row r="444" spans="1:8" x14ac:dyDescent="0.25">
      <c r="A444" s="20"/>
      <c r="B444" s="60"/>
      <c r="C444" s="61" t="s">
        <v>74</v>
      </c>
      <c r="D444" s="30"/>
      <c r="E444" s="30"/>
      <c r="F444" s="29"/>
      <c r="G444" s="28">
        <f t="shared" si="13"/>
        <v>0</v>
      </c>
      <c r="H444" s="27"/>
    </row>
    <row r="445" spans="1:8" x14ac:dyDescent="0.25">
      <c r="A445" s="20"/>
      <c r="B445" s="60"/>
      <c r="C445" s="51" t="s">
        <v>397</v>
      </c>
      <c r="D445" s="66"/>
      <c r="E445" s="66"/>
      <c r="F445" s="23"/>
      <c r="G445" s="22">
        <f t="shared" si="13"/>
        <v>0</v>
      </c>
      <c r="H445" s="42"/>
    </row>
    <row r="446" spans="1:8" x14ac:dyDescent="0.25">
      <c r="A446" s="20"/>
      <c r="B446" s="60"/>
      <c r="C446" s="61" t="s">
        <v>398</v>
      </c>
      <c r="D446" s="30"/>
      <c r="E446" s="30"/>
      <c r="F446" s="29"/>
      <c r="G446" s="28">
        <f t="shared" si="13"/>
        <v>0</v>
      </c>
      <c r="H446" s="27"/>
    </row>
    <row r="447" spans="1:8" x14ac:dyDescent="0.25">
      <c r="A447" s="20"/>
      <c r="B447" s="60"/>
      <c r="C447" s="51" t="s">
        <v>399</v>
      </c>
      <c r="D447" s="66"/>
      <c r="E447" s="66"/>
      <c r="F447" s="23"/>
      <c r="G447" s="22">
        <f t="shared" si="13"/>
        <v>0</v>
      </c>
      <c r="H447" s="42"/>
    </row>
    <row r="448" spans="1:8" x14ac:dyDescent="0.25">
      <c r="A448" s="20"/>
      <c r="B448" s="60"/>
      <c r="C448" s="61" t="s">
        <v>68</v>
      </c>
      <c r="D448" s="30"/>
      <c r="E448" s="30"/>
      <c r="F448" s="29"/>
      <c r="G448" s="28">
        <f t="shared" si="13"/>
        <v>0</v>
      </c>
      <c r="H448" s="27"/>
    </row>
    <row r="449" spans="1:8" x14ac:dyDescent="0.25">
      <c r="A449" s="20"/>
      <c r="B449" s="60"/>
      <c r="C449" s="51" t="s">
        <v>400</v>
      </c>
      <c r="D449" s="66"/>
      <c r="E449" s="66"/>
      <c r="F449" s="23"/>
      <c r="G449" s="22">
        <f t="shared" si="13"/>
        <v>0</v>
      </c>
      <c r="H449" s="42"/>
    </row>
    <row r="450" spans="1:8" x14ac:dyDescent="0.25">
      <c r="A450" s="20"/>
      <c r="B450" s="60"/>
      <c r="C450" s="61" t="s">
        <v>75</v>
      </c>
      <c r="D450" s="30"/>
      <c r="E450" s="30"/>
      <c r="F450" s="29"/>
      <c r="G450" s="28">
        <f t="shared" si="13"/>
        <v>0</v>
      </c>
      <c r="H450" s="27"/>
    </row>
    <row r="451" spans="1:8" x14ac:dyDescent="0.25">
      <c r="A451" s="20"/>
      <c r="B451" s="60"/>
      <c r="C451" s="51" t="s">
        <v>401</v>
      </c>
      <c r="D451" s="66"/>
      <c r="E451" s="66"/>
      <c r="F451" s="23"/>
      <c r="G451" s="22">
        <f t="shared" si="13"/>
        <v>0</v>
      </c>
      <c r="H451" s="42"/>
    </row>
    <row r="452" spans="1:8" x14ac:dyDescent="0.25">
      <c r="A452" s="20"/>
      <c r="B452" s="60"/>
      <c r="C452" s="61" t="s">
        <v>402</v>
      </c>
      <c r="D452" s="30"/>
      <c r="E452" s="30"/>
      <c r="F452" s="29"/>
      <c r="G452" s="28">
        <f t="shared" si="12"/>
        <v>0</v>
      </c>
      <c r="H452" s="27"/>
    </row>
    <row r="453" spans="1:8" x14ac:dyDescent="0.25">
      <c r="A453" s="20"/>
      <c r="B453" s="60"/>
      <c r="C453" s="51" t="s">
        <v>71</v>
      </c>
      <c r="D453" s="66"/>
      <c r="E453" s="66"/>
      <c r="F453" s="23"/>
      <c r="G453" s="22">
        <f t="shared" si="12"/>
        <v>0</v>
      </c>
      <c r="H453" s="42"/>
    </row>
    <row r="454" spans="1:8" x14ac:dyDescent="0.25">
      <c r="A454" s="20"/>
      <c r="B454" s="60"/>
      <c r="C454" s="61" t="s">
        <v>403</v>
      </c>
      <c r="D454" s="30"/>
      <c r="E454" s="30"/>
      <c r="F454" s="29"/>
      <c r="G454" s="28">
        <f t="shared" si="12"/>
        <v>0</v>
      </c>
      <c r="H454" s="27"/>
    </row>
    <row r="455" spans="1:8" x14ac:dyDescent="0.25">
      <c r="A455" s="20"/>
      <c r="B455" s="60"/>
      <c r="C455" s="51" t="s">
        <v>404</v>
      </c>
      <c r="D455" s="66"/>
      <c r="E455" s="66"/>
      <c r="F455" s="23"/>
      <c r="G455" s="22">
        <f t="shared" si="12"/>
        <v>0</v>
      </c>
      <c r="H455" s="42"/>
    </row>
    <row r="456" spans="1:8" x14ac:dyDescent="0.25">
      <c r="A456" s="20"/>
      <c r="B456" s="60"/>
      <c r="C456" s="61" t="s">
        <v>405</v>
      </c>
      <c r="D456" s="30"/>
      <c r="E456" s="30"/>
      <c r="F456" s="29"/>
      <c r="G456" s="28">
        <f t="shared" si="12"/>
        <v>0</v>
      </c>
      <c r="H456" s="27"/>
    </row>
    <row r="457" spans="1:8" x14ac:dyDescent="0.25">
      <c r="A457" s="20"/>
      <c r="B457" s="60"/>
      <c r="C457" s="51"/>
      <c r="D457" s="66"/>
      <c r="E457" s="66"/>
      <c r="F457" s="23"/>
      <c r="G457" s="22">
        <f t="shared" si="12"/>
        <v>0</v>
      </c>
      <c r="H457" s="42"/>
    </row>
    <row r="458" spans="1:8" x14ac:dyDescent="0.25">
      <c r="A458" s="20"/>
      <c r="B458" s="60"/>
      <c r="C458" s="61"/>
      <c r="D458" s="30"/>
      <c r="E458" s="30"/>
      <c r="F458" s="29"/>
      <c r="G458" s="28">
        <f t="shared" si="12"/>
        <v>0</v>
      </c>
      <c r="H458" s="27"/>
    </row>
    <row r="459" spans="1:8" x14ac:dyDescent="0.25">
      <c r="A459" s="20"/>
      <c r="B459" s="60"/>
      <c r="C459" s="51"/>
      <c r="D459" s="66"/>
      <c r="E459" s="66"/>
      <c r="F459" s="23"/>
      <c r="G459" s="22">
        <f t="shared" si="12"/>
        <v>0</v>
      </c>
      <c r="H459" s="42"/>
    </row>
    <row r="460" spans="1:8" x14ac:dyDescent="0.25">
      <c r="A460" s="20"/>
      <c r="B460" s="60"/>
      <c r="C460" s="61"/>
      <c r="D460" s="30"/>
      <c r="E460" s="30"/>
      <c r="F460" s="29"/>
      <c r="G460" s="28">
        <f t="shared" si="12"/>
        <v>0</v>
      </c>
      <c r="H460" s="27"/>
    </row>
    <row r="461" spans="1:8" x14ac:dyDescent="0.25">
      <c r="A461" s="20"/>
      <c r="B461" s="60"/>
      <c r="C461" s="51"/>
      <c r="D461" s="66"/>
      <c r="E461" s="66"/>
      <c r="F461" s="23"/>
      <c r="G461" s="22">
        <f t="shared" si="12"/>
        <v>0</v>
      </c>
      <c r="H461" s="42"/>
    </row>
    <row r="462" spans="1:8" x14ac:dyDescent="0.25">
      <c r="A462" s="20"/>
      <c r="B462" s="60"/>
      <c r="C462" s="61"/>
      <c r="D462" s="30"/>
      <c r="E462" s="30"/>
      <c r="F462" s="29"/>
      <c r="G462" s="28">
        <f t="shared" si="12"/>
        <v>0</v>
      </c>
      <c r="H462" s="27"/>
    </row>
    <row r="463" spans="1:8" x14ac:dyDescent="0.25">
      <c r="A463" s="20"/>
      <c r="B463" s="60"/>
      <c r="C463" s="51"/>
      <c r="D463" s="24"/>
      <c r="E463" s="24"/>
      <c r="F463" s="23"/>
      <c r="G463" s="22">
        <f t="shared" si="12"/>
        <v>0</v>
      </c>
      <c r="H463" s="42"/>
    </row>
    <row r="464" spans="1:8" ht="15.75" thickBot="1" x14ac:dyDescent="0.3">
      <c r="A464" s="20"/>
      <c r="B464" s="60"/>
      <c r="C464" s="53"/>
      <c r="D464" s="30"/>
      <c r="E464" s="30"/>
      <c r="F464" s="29"/>
      <c r="G464" s="28">
        <f t="shared" si="12"/>
        <v>0</v>
      </c>
      <c r="H464" s="27"/>
    </row>
    <row r="465" spans="1:8" ht="15.75" thickBot="1" x14ac:dyDescent="0.3">
      <c r="A465" s="20"/>
      <c r="B465" s="59" t="s">
        <v>65</v>
      </c>
      <c r="C465" s="58" t="s">
        <v>64</v>
      </c>
      <c r="D465" s="57"/>
      <c r="E465" s="57" t="s">
        <v>0</v>
      </c>
      <c r="F465" s="56">
        <v>1000000</v>
      </c>
      <c r="G465" s="55">
        <f>F465*D465</f>
        <v>0</v>
      </c>
      <c r="H465" s="54"/>
    </row>
    <row r="466" spans="1:8" x14ac:dyDescent="0.25">
      <c r="A466" s="20"/>
      <c r="B466" s="52" t="s">
        <v>63</v>
      </c>
      <c r="C466" s="53" t="s">
        <v>406</v>
      </c>
      <c r="D466" s="30"/>
      <c r="E466" s="30" t="s">
        <v>59</v>
      </c>
      <c r="F466" s="29">
        <v>80000</v>
      </c>
      <c r="G466" s="28">
        <f>F466*D466</f>
        <v>0</v>
      </c>
      <c r="H466" s="27"/>
    </row>
    <row r="467" spans="1:8" x14ac:dyDescent="0.25">
      <c r="A467" s="20"/>
      <c r="B467" s="52"/>
      <c r="C467" s="51" t="s">
        <v>407</v>
      </c>
      <c r="D467" s="24"/>
      <c r="E467" s="24" t="s">
        <v>4</v>
      </c>
      <c r="F467" s="23">
        <v>1000</v>
      </c>
      <c r="G467" s="22">
        <f>F467*D467</f>
        <v>0</v>
      </c>
      <c r="H467" s="42"/>
    </row>
    <row r="468" spans="1:8" x14ac:dyDescent="0.25">
      <c r="A468" s="20"/>
      <c r="B468" s="52"/>
      <c r="C468" s="53" t="s">
        <v>47</v>
      </c>
      <c r="D468" s="30"/>
      <c r="E468" s="30" t="s">
        <v>0</v>
      </c>
      <c r="F468" s="29">
        <v>680000</v>
      </c>
      <c r="G468" s="28">
        <f>F468*D468</f>
        <v>0</v>
      </c>
      <c r="H468" s="27"/>
    </row>
    <row r="469" spans="1:8" x14ac:dyDescent="0.25">
      <c r="A469" s="20"/>
      <c r="B469" s="52"/>
      <c r="C469" s="51" t="s">
        <v>62</v>
      </c>
      <c r="D469" s="24"/>
      <c r="E469" s="24" t="s">
        <v>0</v>
      </c>
      <c r="F469" s="23">
        <v>380000</v>
      </c>
      <c r="G469" s="22">
        <f>F469*D469</f>
        <v>0</v>
      </c>
      <c r="H469" s="42"/>
    </row>
    <row r="470" spans="1:8" x14ac:dyDescent="0.25">
      <c r="A470" s="20"/>
      <c r="B470" s="52"/>
      <c r="C470" s="53" t="s">
        <v>408</v>
      </c>
      <c r="D470" s="30"/>
      <c r="E470" s="30" t="s">
        <v>0</v>
      </c>
      <c r="F470" s="29">
        <v>290000</v>
      </c>
      <c r="G470" s="28">
        <f>F470*D470</f>
        <v>0</v>
      </c>
      <c r="H470" s="27"/>
    </row>
    <row r="471" spans="1:8" x14ac:dyDescent="0.25">
      <c r="A471" s="20"/>
      <c r="B471" s="52"/>
      <c r="C471" s="51" t="s">
        <v>22</v>
      </c>
      <c r="D471" s="24"/>
      <c r="E471" s="24" t="s">
        <v>0</v>
      </c>
      <c r="F471" s="23">
        <v>3200</v>
      </c>
      <c r="G471" s="22">
        <f>F471*D471</f>
        <v>0</v>
      </c>
      <c r="H471" s="42"/>
    </row>
    <row r="472" spans="1:8" x14ac:dyDescent="0.25">
      <c r="A472" s="20"/>
      <c r="B472" s="52"/>
      <c r="C472" s="53" t="s">
        <v>409</v>
      </c>
      <c r="D472" s="30"/>
      <c r="E472" s="30" t="s">
        <v>0</v>
      </c>
      <c r="F472" s="29">
        <v>500000</v>
      </c>
      <c r="G472" s="28">
        <f>F472*D472</f>
        <v>0</v>
      </c>
      <c r="H472" s="27"/>
    </row>
    <row r="473" spans="1:8" x14ac:dyDescent="0.25">
      <c r="A473" s="20"/>
      <c r="B473" s="52"/>
      <c r="C473" s="51" t="s">
        <v>53</v>
      </c>
      <c r="D473" s="24"/>
      <c r="E473" s="24" t="s">
        <v>0</v>
      </c>
      <c r="F473" s="23">
        <v>450000</v>
      </c>
      <c r="G473" s="22">
        <f>F473*D473</f>
        <v>0</v>
      </c>
      <c r="H473" s="42"/>
    </row>
    <row r="474" spans="1:8" x14ac:dyDescent="0.25">
      <c r="A474" s="20"/>
      <c r="B474" s="52"/>
      <c r="C474" s="53" t="s">
        <v>410</v>
      </c>
      <c r="D474" s="30"/>
      <c r="E474" s="30" t="s">
        <v>61</v>
      </c>
      <c r="F474" s="29">
        <v>800000</v>
      </c>
      <c r="G474" s="28">
        <f>F474*D474</f>
        <v>0</v>
      </c>
      <c r="H474" s="27"/>
    </row>
    <row r="475" spans="1:8" x14ac:dyDescent="0.25">
      <c r="A475" s="20"/>
      <c r="B475" s="52"/>
      <c r="C475" s="51" t="s">
        <v>55</v>
      </c>
      <c r="D475" s="24"/>
      <c r="E475" s="24" t="s">
        <v>0</v>
      </c>
      <c r="F475" s="23">
        <v>400000</v>
      </c>
      <c r="G475" s="22">
        <f>F475*D475</f>
        <v>0</v>
      </c>
      <c r="H475" s="42"/>
    </row>
    <row r="476" spans="1:8" x14ac:dyDescent="0.25">
      <c r="A476" s="20"/>
      <c r="B476" s="52"/>
      <c r="C476" s="53" t="s">
        <v>57</v>
      </c>
      <c r="D476" s="30"/>
      <c r="E476" s="30" t="s">
        <v>59</v>
      </c>
      <c r="F476" s="29"/>
      <c r="G476" s="28">
        <f>F476*D476</f>
        <v>0</v>
      </c>
      <c r="H476" s="27"/>
    </row>
    <row r="477" spans="1:8" x14ac:dyDescent="0.25">
      <c r="A477" s="20"/>
      <c r="B477" s="52"/>
      <c r="C477" s="51" t="s">
        <v>54</v>
      </c>
      <c r="D477" s="24"/>
      <c r="E477" s="24" t="s">
        <v>0</v>
      </c>
      <c r="F477" s="23">
        <v>1500</v>
      </c>
      <c r="G477" s="22">
        <f>F477*D477</f>
        <v>0</v>
      </c>
      <c r="H477" s="42"/>
    </row>
    <row r="478" spans="1:8" x14ac:dyDescent="0.25">
      <c r="A478" s="20"/>
      <c r="B478" s="52"/>
      <c r="C478" s="53" t="s">
        <v>44</v>
      </c>
      <c r="D478" s="30"/>
      <c r="E478" s="30" t="s">
        <v>34</v>
      </c>
      <c r="F478" s="29">
        <v>3000</v>
      </c>
      <c r="G478" s="28">
        <f>F478*D478</f>
        <v>0</v>
      </c>
      <c r="H478" s="27"/>
    </row>
    <row r="479" spans="1:8" x14ac:dyDescent="0.25">
      <c r="A479" s="20"/>
      <c r="B479" s="52"/>
      <c r="C479" s="51" t="s">
        <v>164</v>
      </c>
      <c r="D479" s="24"/>
      <c r="E479" s="24" t="s">
        <v>0</v>
      </c>
      <c r="F479" s="23">
        <v>2100</v>
      </c>
      <c r="G479" s="22">
        <f>F479*D479</f>
        <v>0</v>
      </c>
      <c r="H479" s="42"/>
    </row>
    <row r="480" spans="1:8" x14ac:dyDescent="0.25">
      <c r="A480" s="20"/>
      <c r="B480" s="52"/>
      <c r="C480" s="53" t="s">
        <v>202</v>
      </c>
      <c r="D480" s="30"/>
      <c r="E480" s="30" t="s">
        <v>0</v>
      </c>
      <c r="F480" s="29">
        <v>6000</v>
      </c>
      <c r="G480" s="28">
        <f>F480*D480</f>
        <v>0</v>
      </c>
      <c r="H480" s="27"/>
    </row>
    <row r="481" spans="1:8" x14ac:dyDescent="0.25">
      <c r="A481" s="20"/>
      <c r="B481" s="52"/>
      <c r="C481" s="51" t="s">
        <v>58</v>
      </c>
      <c r="D481" s="24"/>
      <c r="E481" s="24" t="s">
        <v>0</v>
      </c>
      <c r="F481" s="23">
        <v>50000</v>
      </c>
      <c r="G481" s="22">
        <f>F481*D481</f>
        <v>0</v>
      </c>
      <c r="H481" s="42"/>
    </row>
    <row r="482" spans="1:8" x14ac:dyDescent="0.25">
      <c r="A482" s="20"/>
      <c r="B482" s="52"/>
      <c r="C482" s="53" t="s">
        <v>166</v>
      </c>
      <c r="D482" s="30"/>
      <c r="E482" s="30" t="s">
        <v>0</v>
      </c>
      <c r="F482" s="29">
        <v>10000</v>
      </c>
      <c r="G482" s="28">
        <f>F482*D482</f>
        <v>0</v>
      </c>
      <c r="H482" s="27"/>
    </row>
    <row r="483" spans="1:8" x14ac:dyDescent="0.25">
      <c r="A483" s="20"/>
      <c r="B483" s="52"/>
      <c r="C483" s="51" t="s">
        <v>45</v>
      </c>
      <c r="D483" s="24"/>
      <c r="E483" s="24" t="s">
        <v>0</v>
      </c>
      <c r="F483" s="23">
        <v>1500</v>
      </c>
      <c r="G483" s="22">
        <f>F483*D483</f>
        <v>0</v>
      </c>
      <c r="H483" s="42"/>
    </row>
    <row r="484" spans="1:8" x14ac:dyDescent="0.25">
      <c r="A484" s="20"/>
      <c r="B484" s="52"/>
      <c r="C484" s="53" t="s">
        <v>56</v>
      </c>
      <c r="D484" s="30"/>
      <c r="E484" s="30" t="s">
        <v>0</v>
      </c>
      <c r="F484" s="29">
        <v>21521</v>
      </c>
      <c r="G484" s="28">
        <f>F484*D484</f>
        <v>0</v>
      </c>
      <c r="H484" s="27"/>
    </row>
    <row r="485" spans="1:8" x14ac:dyDescent="0.25">
      <c r="A485" s="20"/>
      <c r="B485" s="52"/>
      <c r="C485" s="51" t="s">
        <v>411</v>
      </c>
      <c r="D485" s="24"/>
      <c r="E485" s="24" t="s">
        <v>0</v>
      </c>
      <c r="F485" s="23">
        <v>14522</v>
      </c>
      <c r="G485" s="22">
        <f>F485*D485</f>
        <v>0</v>
      </c>
      <c r="H485" s="42"/>
    </row>
    <row r="486" spans="1:8" x14ac:dyDescent="0.25">
      <c r="A486" s="20"/>
      <c r="B486" s="52"/>
      <c r="C486" s="53" t="s">
        <v>412</v>
      </c>
      <c r="D486" s="30"/>
      <c r="E486" s="30" t="s">
        <v>0</v>
      </c>
      <c r="F486" s="29">
        <v>2500</v>
      </c>
      <c r="G486" s="28">
        <f>F486*D486</f>
        <v>0</v>
      </c>
      <c r="H486" s="27"/>
    </row>
    <row r="487" spans="1:8" x14ac:dyDescent="0.25">
      <c r="A487" s="20"/>
      <c r="B487" s="52"/>
      <c r="C487" s="51" t="s">
        <v>413</v>
      </c>
      <c r="D487" s="24"/>
      <c r="E487" s="24" t="s">
        <v>0</v>
      </c>
      <c r="F487" s="23">
        <v>3841</v>
      </c>
      <c r="G487" s="22">
        <f>F487*D487</f>
        <v>0</v>
      </c>
      <c r="H487" s="42"/>
    </row>
    <row r="488" spans="1:8" x14ac:dyDescent="0.25">
      <c r="A488" s="20"/>
      <c r="B488" s="52"/>
      <c r="C488" s="53" t="s">
        <v>163</v>
      </c>
      <c r="D488" s="30"/>
      <c r="E488" s="30" t="s">
        <v>0</v>
      </c>
      <c r="F488" s="29">
        <v>2500</v>
      </c>
      <c r="G488" s="28">
        <f>F488*D488</f>
        <v>0</v>
      </c>
      <c r="H488" s="27"/>
    </row>
    <row r="489" spans="1:8" ht="16.899999999999999" customHeight="1" x14ac:dyDescent="0.25">
      <c r="A489" s="20"/>
      <c r="B489" s="52"/>
      <c r="C489" s="51" t="s">
        <v>414</v>
      </c>
      <c r="D489" s="24"/>
      <c r="E489" s="24" t="s">
        <v>0</v>
      </c>
      <c r="F489" s="23">
        <v>5000</v>
      </c>
      <c r="G489" s="22">
        <f>F489*D489</f>
        <v>0</v>
      </c>
      <c r="H489" s="42"/>
    </row>
    <row r="490" spans="1:8" x14ac:dyDescent="0.25">
      <c r="A490" s="20"/>
      <c r="B490" s="52"/>
      <c r="C490" s="53" t="s">
        <v>39</v>
      </c>
      <c r="D490" s="30"/>
      <c r="E490" s="30" t="s">
        <v>0</v>
      </c>
      <c r="F490" s="29">
        <v>15000</v>
      </c>
      <c r="G490" s="28">
        <f>F490*D490</f>
        <v>0</v>
      </c>
      <c r="H490" s="27"/>
    </row>
    <row r="491" spans="1:8" x14ac:dyDescent="0.25">
      <c r="A491" s="20"/>
      <c r="B491" s="52"/>
      <c r="C491" s="51" t="s">
        <v>161</v>
      </c>
      <c r="D491" s="24"/>
      <c r="E491" s="24" t="s">
        <v>0</v>
      </c>
      <c r="F491" s="23">
        <v>13254</v>
      </c>
      <c r="G491" s="22">
        <f>F491*D491</f>
        <v>0</v>
      </c>
      <c r="H491" s="42"/>
    </row>
    <row r="492" spans="1:8" x14ac:dyDescent="0.25">
      <c r="A492" s="20"/>
      <c r="B492" s="52"/>
      <c r="C492" s="53" t="s">
        <v>17</v>
      </c>
      <c r="D492" s="30"/>
      <c r="E492" s="30" t="s">
        <v>0</v>
      </c>
      <c r="F492" s="29">
        <v>5624</v>
      </c>
      <c r="G492" s="28">
        <f>F492*D492</f>
        <v>0</v>
      </c>
      <c r="H492" s="27"/>
    </row>
    <row r="493" spans="1:8" x14ac:dyDescent="0.25">
      <c r="A493" s="20"/>
      <c r="B493" s="52"/>
      <c r="C493" s="51" t="s">
        <v>415</v>
      </c>
      <c r="D493" s="24"/>
      <c r="E493" s="24" t="s">
        <v>0</v>
      </c>
      <c r="F493" s="23">
        <v>5624</v>
      </c>
      <c r="G493" s="22">
        <f>F493*D493</f>
        <v>0</v>
      </c>
      <c r="H493" s="42"/>
    </row>
    <row r="494" spans="1:8" x14ac:dyDescent="0.25">
      <c r="A494" s="20"/>
      <c r="B494" s="52"/>
      <c r="C494" s="53" t="s">
        <v>42</v>
      </c>
      <c r="D494" s="30"/>
      <c r="E494" s="30" t="s">
        <v>0</v>
      </c>
      <c r="F494" s="29">
        <v>1889</v>
      </c>
      <c r="G494" s="28">
        <f>F494*D494</f>
        <v>0</v>
      </c>
      <c r="H494" s="27"/>
    </row>
    <row r="495" spans="1:8" x14ac:dyDescent="0.25">
      <c r="A495" s="20"/>
      <c r="B495" s="52"/>
      <c r="C495" s="51" t="s">
        <v>416</v>
      </c>
      <c r="D495" s="24"/>
      <c r="E495" s="24" t="s">
        <v>0</v>
      </c>
      <c r="F495" s="23">
        <v>14079</v>
      </c>
      <c r="G495" s="22">
        <f>F495*D495</f>
        <v>0</v>
      </c>
      <c r="H495" s="42"/>
    </row>
    <row r="496" spans="1:8" x14ac:dyDescent="0.25">
      <c r="A496" s="20"/>
      <c r="B496" s="52"/>
      <c r="C496" s="53" t="s">
        <v>417</v>
      </c>
      <c r="D496" s="30"/>
      <c r="E496" s="30" t="s">
        <v>0</v>
      </c>
      <c r="F496" s="29">
        <v>2212</v>
      </c>
      <c r="G496" s="28">
        <f>F496*D496</f>
        <v>0</v>
      </c>
      <c r="H496" s="27"/>
    </row>
    <row r="497" spans="1:8" x14ac:dyDescent="0.25">
      <c r="A497" s="20"/>
      <c r="B497" s="52"/>
      <c r="C497" s="51" t="s">
        <v>43</v>
      </c>
      <c r="D497" s="24"/>
      <c r="E497" s="24" t="s">
        <v>0</v>
      </c>
      <c r="F497" s="23">
        <v>3300</v>
      </c>
      <c r="G497" s="22">
        <f>F497*D497</f>
        <v>0</v>
      </c>
      <c r="H497" s="42"/>
    </row>
    <row r="498" spans="1:8" x14ac:dyDescent="0.25">
      <c r="A498" s="20"/>
      <c r="B498" s="52"/>
      <c r="C498" s="53" t="s">
        <v>418</v>
      </c>
      <c r="D498" s="30"/>
      <c r="E498" s="30" t="s">
        <v>0</v>
      </c>
      <c r="F498" s="29">
        <v>1100</v>
      </c>
      <c r="G498" s="28">
        <f>F498*D498</f>
        <v>0</v>
      </c>
      <c r="H498" s="27"/>
    </row>
    <row r="499" spans="1:8" x14ac:dyDescent="0.25">
      <c r="A499" s="20"/>
      <c r="B499" s="52"/>
      <c r="C499" s="51" t="s">
        <v>419</v>
      </c>
      <c r="D499" s="24"/>
      <c r="E499" s="24" t="s">
        <v>0</v>
      </c>
      <c r="F499" s="23">
        <v>30</v>
      </c>
      <c r="G499" s="22">
        <f>F499*D499</f>
        <v>0</v>
      </c>
      <c r="H499" s="42"/>
    </row>
    <row r="500" spans="1:8" x14ac:dyDescent="0.25">
      <c r="A500" s="20"/>
      <c r="B500" s="52"/>
      <c r="C500" s="53" t="s">
        <v>420</v>
      </c>
      <c r="D500" s="30"/>
      <c r="E500" s="30" t="s">
        <v>0</v>
      </c>
      <c r="F500" s="29">
        <v>20</v>
      </c>
      <c r="G500" s="28">
        <f>F500*D500</f>
        <v>0</v>
      </c>
      <c r="H500" s="27"/>
    </row>
    <row r="501" spans="1:8" x14ac:dyDescent="0.25">
      <c r="A501" s="20"/>
      <c r="B501" s="52"/>
      <c r="C501" s="51" t="s">
        <v>421</v>
      </c>
      <c r="D501" s="24"/>
      <c r="E501" s="24" t="s">
        <v>0</v>
      </c>
      <c r="F501" s="23">
        <v>400</v>
      </c>
      <c r="G501" s="22">
        <f>F501*D501</f>
        <v>0</v>
      </c>
      <c r="H501" s="42"/>
    </row>
    <row r="502" spans="1:8" x14ac:dyDescent="0.25">
      <c r="A502" s="20"/>
      <c r="B502" s="52"/>
      <c r="C502" s="53" t="s">
        <v>41</v>
      </c>
      <c r="D502" s="30"/>
      <c r="E502" s="30" t="s">
        <v>0</v>
      </c>
      <c r="F502" s="29">
        <v>4000</v>
      </c>
      <c r="G502" s="28">
        <f>F502*D502</f>
        <v>0</v>
      </c>
      <c r="H502" s="27"/>
    </row>
    <row r="503" spans="1:8" x14ac:dyDescent="0.25">
      <c r="A503" s="20"/>
      <c r="B503" s="52"/>
      <c r="C503" s="51" t="s">
        <v>422</v>
      </c>
      <c r="D503" s="24"/>
      <c r="E503" s="24" t="s">
        <v>0</v>
      </c>
      <c r="F503" s="23">
        <v>3000</v>
      </c>
      <c r="G503" s="22">
        <f>F503*D503</f>
        <v>0</v>
      </c>
      <c r="H503" s="42"/>
    </row>
    <row r="504" spans="1:8" x14ac:dyDescent="0.25">
      <c r="A504" s="20"/>
      <c r="B504" s="52"/>
      <c r="C504" s="53" t="s">
        <v>40</v>
      </c>
      <c r="D504" s="30"/>
      <c r="E504" s="30" t="s">
        <v>0</v>
      </c>
      <c r="F504" s="29">
        <v>4000</v>
      </c>
      <c r="G504" s="28">
        <f>F504*D504</f>
        <v>0</v>
      </c>
      <c r="H504" s="27"/>
    </row>
    <row r="505" spans="1:8" x14ac:dyDescent="0.25">
      <c r="A505" s="20"/>
      <c r="B505" s="52"/>
      <c r="C505" s="51" t="s">
        <v>423</v>
      </c>
      <c r="D505" s="24"/>
      <c r="E505" s="24" t="s">
        <v>0</v>
      </c>
      <c r="F505" s="23">
        <v>3000</v>
      </c>
      <c r="G505" s="22">
        <f>F505*D505</f>
        <v>0</v>
      </c>
      <c r="H505" s="42"/>
    </row>
    <row r="506" spans="1:8" x14ac:dyDescent="0.25">
      <c r="A506" s="20"/>
      <c r="B506" s="52"/>
      <c r="C506" s="53" t="s">
        <v>424</v>
      </c>
      <c r="D506" s="30"/>
      <c r="E506" s="30" t="s">
        <v>0</v>
      </c>
      <c r="F506" s="29">
        <v>2100</v>
      </c>
      <c r="G506" s="28">
        <f>F506*D506</f>
        <v>0</v>
      </c>
      <c r="H506" s="27"/>
    </row>
    <row r="507" spans="1:8" x14ac:dyDescent="0.25">
      <c r="A507" s="20"/>
      <c r="B507" s="52"/>
      <c r="C507" s="51" t="s">
        <v>162</v>
      </c>
      <c r="D507" s="24"/>
      <c r="E507" s="24" t="s">
        <v>0</v>
      </c>
      <c r="F507" s="23">
        <v>2500</v>
      </c>
      <c r="G507" s="22">
        <f>F507*D507</f>
        <v>0</v>
      </c>
      <c r="H507" s="42"/>
    </row>
    <row r="508" spans="1:8" x14ac:dyDescent="0.25">
      <c r="A508" s="20"/>
      <c r="B508" s="52"/>
      <c r="C508" s="53" t="s">
        <v>165</v>
      </c>
      <c r="D508" s="30"/>
      <c r="E508" s="30" t="s">
        <v>0</v>
      </c>
      <c r="F508" s="29">
        <v>3000</v>
      </c>
      <c r="G508" s="28">
        <f>F508*D508</f>
        <v>0</v>
      </c>
      <c r="H508" s="27"/>
    </row>
    <row r="509" spans="1:8" x14ac:dyDescent="0.25">
      <c r="A509" s="20"/>
      <c r="B509" s="52"/>
      <c r="C509" s="51" t="s">
        <v>425</v>
      </c>
      <c r="D509" s="24"/>
      <c r="E509" s="24" t="s">
        <v>0</v>
      </c>
      <c r="F509" s="23">
        <v>15000</v>
      </c>
      <c r="G509" s="22">
        <f>F509*D509</f>
        <v>0</v>
      </c>
      <c r="H509" s="42"/>
    </row>
    <row r="510" spans="1:8" x14ac:dyDescent="0.25">
      <c r="A510" s="20"/>
      <c r="B510" s="52"/>
      <c r="C510" s="53" t="s">
        <v>426</v>
      </c>
      <c r="D510" s="30"/>
      <c r="E510" s="30" t="s">
        <v>0</v>
      </c>
      <c r="F510" s="29">
        <v>39690</v>
      </c>
      <c r="G510" s="28">
        <f t="shared" ref="G510:G537" si="14">F510*D510</f>
        <v>0</v>
      </c>
      <c r="H510" s="27"/>
    </row>
    <row r="511" spans="1:8" x14ac:dyDescent="0.25">
      <c r="A511" s="20"/>
      <c r="B511" s="52"/>
      <c r="C511" s="51" t="s">
        <v>160</v>
      </c>
      <c r="D511" s="66"/>
      <c r="E511" s="66" t="s">
        <v>0</v>
      </c>
      <c r="F511" s="23">
        <v>1200</v>
      </c>
      <c r="G511" s="22">
        <f t="shared" si="14"/>
        <v>0</v>
      </c>
      <c r="H511" s="42"/>
    </row>
    <row r="512" spans="1:8" x14ac:dyDescent="0.25">
      <c r="A512" s="20"/>
      <c r="B512" s="52"/>
      <c r="C512" s="53" t="s">
        <v>48</v>
      </c>
      <c r="D512" s="30"/>
      <c r="E512" s="30"/>
      <c r="F512" s="29"/>
      <c r="G512" s="28">
        <f t="shared" si="14"/>
        <v>0</v>
      </c>
      <c r="H512" s="27"/>
    </row>
    <row r="513" spans="1:8" x14ac:dyDescent="0.25">
      <c r="A513" s="20"/>
      <c r="B513" s="52"/>
      <c r="C513" s="51" t="s">
        <v>427</v>
      </c>
      <c r="D513" s="66"/>
      <c r="E513" s="66"/>
      <c r="F513" s="23"/>
      <c r="G513" s="22">
        <f t="shared" si="14"/>
        <v>0</v>
      </c>
      <c r="H513" s="42"/>
    </row>
    <row r="514" spans="1:8" x14ac:dyDescent="0.25">
      <c r="A514" s="20"/>
      <c r="B514" s="52"/>
      <c r="C514" s="53" t="s">
        <v>428</v>
      </c>
      <c r="D514" s="30"/>
      <c r="E514" s="30"/>
      <c r="F514" s="29"/>
      <c r="G514" s="28">
        <f t="shared" ref="G514:G529" si="15">F514*D514</f>
        <v>0</v>
      </c>
      <c r="H514" s="27"/>
    </row>
    <row r="515" spans="1:8" x14ac:dyDescent="0.25">
      <c r="A515" s="20"/>
      <c r="B515" s="52"/>
      <c r="C515" s="51" t="s">
        <v>429</v>
      </c>
      <c r="D515" s="66"/>
      <c r="E515" s="66"/>
      <c r="F515" s="23"/>
      <c r="G515" s="22">
        <f t="shared" si="15"/>
        <v>0</v>
      </c>
      <c r="H515" s="42"/>
    </row>
    <row r="516" spans="1:8" x14ac:dyDescent="0.25">
      <c r="A516" s="20"/>
      <c r="B516" s="52"/>
      <c r="C516" s="53" t="s">
        <v>51</v>
      </c>
      <c r="D516" s="30"/>
      <c r="E516" s="30"/>
      <c r="F516" s="29"/>
      <c r="G516" s="28">
        <f t="shared" si="15"/>
        <v>0</v>
      </c>
      <c r="H516" s="27"/>
    </row>
    <row r="517" spans="1:8" x14ac:dyDescent="0.25">
      <c r="A517" s="20"/>
      <c r="B517" s="52"/>
      <c r="C517" s="51" t="s">
        <v>46</v>
      </c>
      <c r="D517" s="66"/>
      <c r="E517" s="66"/>
      <c r="F517" s="23"/>
      <c r="G517" s="22">
        <f t="shared" si="15"/>
        <v>0</v>
      </c>
      <c r="H517" s="42"/>
    </row>
    <row r="518" spans="1:8" x14ac:dyDescent="0.25">
      <c r="A518" s="20"/>
      <c r="B518" s="52"/>
      <c r="C518" s="53"/>
      <c r="D518" s="30"/>
      <c r="E518" s="30"/>
      <c r="F518" s="29"/>
      <c r="G518" s="28">
        <f t="shared" si="15"/>
        <v>0</v>
      </c>
      <c r="H518" s="27"/>
    </row>
    <row r="519" spans="1:8" x14ac:dyDescent="0.25">
      <c r="A519" s="20"/>
      <c r="B519" s="52"/>
      <c r="C519" s="51"/>
      <c r="D519" s="66"/>
      <c r="E519" s="66"/>
      <c r="F519" s="23"/>
      <c r="G519" s="22">
        <f t="shared" si="15"/>
        <v>0</v>
      </c>
      <c r="H519" s="42"/>
    </row>
    <row r="520" spans="1:8" x14ac:dyDescent="0.25">
      <c r="A520" s="20"/>
      <c r="B520" s="52"/>
      <c r="C520" s="53"/>
      <c r="D520" s="30"/>
      <c r="E520" s="30"/>
      <c r="F520" s="29"/>
      <c r="G520" s="28">
        <f t="shared" si="15"/>
        <v>0</v>
      </c>
      <c r="H520" s="27"/>
    </row>
    <row r="521" spans="1:8" x14ac:dyDescent="0.25">
      <c r="A521" s="20"/>
      <c r="B521" s="52"/>
      <c r="C521" s="51"/>
      <c r="D521" s="66"/>
      <c r="E521" s="66"/>
      <c r="F521" s="23"/>
      <c r="G521" s="22">
        <f t="shared" si="15"/>
        <v>0</v>
      </c>
      <c r="H521" s="42"/>
    </row>
    <row r="522" spans="1:8" x14ac:dyDescent="0.25">
      <c r="A522" s="20"/>
      <c r="B522" s="52"/>
      <c r="C522" s="53"/>
      <c r="D522" s="30"/>
      <c r="E522" s="30"/>
      <c r="F522" s="29"/>
      <c r="G522" s="28">
        <f t="shared" si="15"/>
        <v>0</v>
      </c>
      <c r="H522" s="27"/>
    </row>
    <row r="523" spans="1:8" x14ac:dyDescent="0.25">
      <c r="A523" s="20"/>
      <c r="B523" s="52"/>
      <c r="C523" s="51"/>
      <c r="D523" s="66"/>
      <c r="E523" s="66"/>
      <c r="F523" s="23"/>
      <c r="G523" s="22">
        <f t="shared" si="15"/>
        <v>0</v>
      </c>
      <c r="H523" s="42"/>
    </row>
    <row r="524" spans="1:8" x14ac:dyDescent="0.25">
      <c r="A524" s="20"/>
      <c r="B524" s="52"/>
      <c r="C524" s="53"/>
      <c r="D524" s="30"/>
      <c r="E524" s="30"/>
      <c r="F524" s="29"/>
      <c r="G524" s="28">
        <f t="shared" si="15"/>
        <v>0</v>
      </c>
      <c r="H524" s="27"/>
    </row>
    <row r="525" spans="1:8" x14ac:dyDescent="0.25">
      <c r="A525" s="20"/>
      <c r="B525" s="52"/>
      <c r="C525" s="51"/>
      <c r="D525" s="66"/>
      <c r="E525" s="66"/>
      <c r="F525" s="23"/>
      <c r="G525" s="22">
        <f t="shared" si="15"/>
        <v>0</v>
      </c>
      <c r="H525" s="42"/>
    </row>
    <row r="526" spans="1:8" x14ac:dyDescent="0.25">
      <c r="A526" s="20"/>
      <c r="B526" s="52"/>
      <c r="C526" s="53"/>
      <c r="D526" s="30"/>
      <c r="E526" s="30"/>
      <c r="F526" s="29"/>
      <c r="G526" s="28">
        <f t="shared" si="15"/>
        <v>0</v>
      </c>
      <c r="H526" s="27"/>
    </row>
    <row r="527" spans="1:8" x14ac:dyDescent="0.25">
      <c r="A527" s="20"/>
      <c r="B527" s="52"/>
      <c r="C527" s="51"/>
      <c r="D527" s="66"/>
      <c r="E527" s="66"/>
      <c r="F527" s="23"/>
      <c r="G527" s="22">
        <f t="shared" si="15"/>
        <v>0</v>
      </c>
      <c r="H527" s="42"/>
    </row>
    <row r="528" spans="1:8" x14ac:dyDescent="0.25">
      <c r="A528" s="20"/>
      <c r="B528" s="52"/>
      <c r="C528" s="53"/>
      <c r="D528" s="30"/>
      <c r="E528" s="30"/>
      <c r="F528" s="29"/>
      <c r="G528" s="28">
        <f t="shared" si="15"/>
        <v>0</v>
      </c>
      <c r="H528" s="27"/>
    </row>
    <row r="529" spans="1:8" x14ac:dyDescent="0.25">
      <c r="A529" s="20"/>
      <c r="B529" s="52"/>
      <c r="C529" s="51"/>
      <c r="D529" s="66"/>
      <c r="E529" s="66"/>
      <c r="F529" s="23"/>
      <c r="G529" s="22">
        <f t="shared" si="15"/>
        <v>0</v>
      </c>
      <c r="H529" s="42"/>
    </row>
    <row r="530" spans="1:8" x14ac:dyDescent="0.25">
      <c r="A530" s="20"/>
      <c r="B530" s="52"/>
      <c r="C530" s="53"/>
      <c r="D530" s="30"/>
      <c r="E530" s="30"/>
      <c r="F530" s="29"/>
      <c r="G530" s="28">
        <f t="shared" si="14"/>
        <v>0</v>
      </c>
      <c r="H530" s="27"/>
    </row>
    <row r="531" spans="1:8" x14ac:dyDescent="0.25">
      <c r="A531" s="20"/>
      <c r="B531" s="52"/>
      <c r="C531" s="51"/>
      <c r="D531" s="66"/>
      <c r="E531" s="66"/>
      <c r="F531" s="23"/>
      <c r="G531" s="22">
        <f t="shared" si="14"/>
        <v>0</v>
      </c>
      <c r="H531" s="42"/>
    </row>
    <row r="532" spans="1:8" x14ac:dyDescent="0.25">
      <c r="A532" s="20"/>
      <c r="B532" s="52"/>
      <c r="C532" s="53"/>
      <c r="D532" s="30"/>
      <c r="E532" s="30"/>
      <c r="F532" s="29"/>
      <c r="G532" s="28">
        <f t="shared" si="14"/>
        <v>0</v>
      </c>
      <c r="H532" s="27"/>
    </row>
    <row r="533" spans="1:8" x14ac:dyDescent="0.25">
      <c r="A533" s="20"/>
      <c r="B533" s="52"/>
      <c r="C533" s="51"/>
      <c r="D533" s="66"/>
      <c r="E533" s="66"/>
      <c r="F533" s="23"/>
      <c r="G533" s="22">
        <f t="shared" si="14"/>
        <v>0</v>
      </c>
      <c r="H533" s="42"/>
    </row>
    <row r="534" spans="1:8" x14ac:dyDescent="0.25">
      <c r="A534" s="20"/>
      <c r="B534" s="52"/>
      <c r="C534" s="53"/>
      <c r="D534" s="30"/>
      <c r="E534" s="30"/>
      <c r="F534" s="29"/>
      <c r="G534" s="28">
        <f t="shared" si="14"/>
        <v>0</v>
      </c>
      <c r="H534" s="27"/>
    </row>
    <row r="535" spans="1:8" x14ac:dyDescent="0.25">
      <c r="A535" s="20"/>
      <c r="B535" s="52"/>
      <c r="C535" s="51"/>
      <c r="D535" s="24"/>
      <c r="E535" s="24"/>
      <c r="F535" s="23"/>
      <c r="G535" s="22">
        <f t="shared" si="14"/>
        <v>0</v>
      </c>
      <c r="H535" s="42"/>
    </row>
    <row r="536" spans="1:8" x14ac:dyDescent="0.25">
      <c r="A536" s="20"/>
      <c r="B536" s="52"/>
      <c r="C536" s="53"/>
      <c r="D536" s="30"/>
      <c r="E536" s="30"/>
      <c r="F536" s="29"/>
      <c r="G536" s="28">
        <f t="shared" si="14"/>
        <v>0</v>
      </c>
      <c r="H536" s="27"/>
    </row>
    <row r="537" spans="1:8" ht="15.75" thickBot="1" x14ac:dyDescent="0.3">
      <c r="A537" s="20"/>
      <c r="B537" s="52"/>
      <c r="C537" s="51"/>
      <c r="D537" s="24"/>
      <c r="E537" s="24"/>
      <c r="F537" s="50"/>
      <c r="G537" s="22">
        <f t="shared" si="14"/>
        <v>0</v>
      </c>
      <c r="H537" s="42"/>
    </row>
    <row r="538" spans="1:8" x14ac:dyDescent="0.25">
      <c r="A538" s="20"/>
      <c r="B538" s="49" t="s">
        <v>37</v>
      </c>
      <c r="C538" s="48" t="s">
        <v>36</v>
      </c>
      <c r="D538" s="47"/>
      <c r="E538" s="47" t="s">
        <v>0</v>
      </c>
      <c r="F538" s="46">
        <v>825000</v>
      </c>
      <c r="G538" s="45">
        <f>F538*D538</f>
        <v>0</v>
      </c>
      <c r="H538" s="44"/>
    </row>
    <row r="539" spans="1:8" x14ac:dyDescent="0.25">
      <c r="A539" s="20"/>
      <c r="B539" s="40"/>
      <c r="C539" s="43" t="s">
        <v>35</v>
      </c>
      <c r="D539" s="24"/>
      <c r="E539" s="24" t="s">
        <v>34</v>
      </c>
      <c r="F539" s="23">
        <v>350000</v>
      </c>
      <c r="G539" s="22">
        <f>F539*D539</f>
        <v>0</v>
      </c>
      <c r="H539" s="42"/>
    </row>
    <row r="540" spans="1:8" x14ac:dyDescent="0.25">
      <c r="A540" s="20"/>
      <c r="B540" s="40"/>
      <c r="C540" s="41" t="s">
        <v>33</v>
      </c>
      <c r="D540" s="30"/>
      <c r="E540" s="30" t="s">
        <v>0</v>
      </c>
      <c r="F540" s="29">
        <v>200000</v>
      </c>
      <c r="G540" s="28">
        <f>F540*D540</f>
        <v>0</v>
      </c>
      <c r="H540" s="27"/>
    </row>
    <row r="541" spans="1:8" x14ac:dyDescent="0.25">
      <c r="A541" s="20"/>
      <c r="B541" s="40"/>
      <c r="C541" s="43" t="s">
        <v>32</v>
      </c>
      <c r="D541" s="24"/>
      <c r="E541" s="24" t="s">
        <v>0</v>
      </c>
      <c r="F541" s="23">
        <v>150000</v>
      </c>
      <c r="G541" s="22">
        <f>F541*D541</f>
        <v>0</v>
      </c>
      <c r="H541" s="42"/>
    </row>
    <row r="542" spans="1:8" x14ac:dyDescent="0.25">
      <c r="A542" s="20"/>
      <c r="B542" s="40"/>
      <c r="C542" s="41" t="s">
        <v>31</v>
      </c>
      <c r="D542" s="30"/>
      <c r="E542" s="30" t="s">
        <v>0</v>
      </c>
      <c r="F542" s="29">
        <v>57288</v>
      </c>
      <c r="G542" s="28">
        <f>F542*D542</f>
        <v>0</v>
      </c>
      <c r="H542" s="27"/>
    </row>
    <row r="543" spans="1:8" x14ac:dyDescent="0.25">
      <c r="A543" s="20"/>
      <c r="B543" s="40"/>
      <c r="C543" s="43" t="s">
        <v>30</v>
      </c>
      <c r="D543" s="24"/>
      <c r="E543" s="24" t="s">
        <v>0</v>
      </c>
      <c r="F543" s="23">
        <v>300000</v>
      </c>
      <c r="G543" s="22">
        <f>F543*D543</f>
        <v>0</v>
      </c>
      <c r="H543" s="42"/>
    </row>
    <row r="544" spans="1:8" x14ac:dyDescent="0.25">
      <c r="A544" s="20"/>
      <c r="B544" s="40"/>
      <c r="C544" s="41" t="s">
        <v>29</v>
      </c>
      <c r="D544" s="30"/>
      <c r="E544" s="30" t="s">
        <v>0</v>
      </c>
      <c r="F544" s="29">
        <v>665000</v>
      </c>
      <c r="G544" s="28">
        <f>F544*D544</f>
        <v>0</v>
      </c>
      <c r="H544" s="27"/>
    </row>
    <row r="545" spans="1:8" x14ac:dyDescent="0.25">
      <c r="A545" s="20"/>
      <c r="B545" s="40"/>
      <c r="C545" s="43" t="s">
        <v>28</v>
      </c>
      <c r="D545" s="24"/>
      <c r="E545" s="24" t="s">
        <v>0</v>
      </c>
      <c r="F545" s="23">
        <v>400000</v>
      </c>
      <c r="G545" s="22">
        <f>F545*D545</f>
        <v>0</v>
      </c>
      <c r="H545" s="42"/>
    </row>
    <row r="546" spans="1:8" x14ac:dyDescent="0.25">
      <c r="A546" s="20"/>
      <c r="B546" s="40"/>
      <c r="C546" s="41" t="s">
        <v>27</v>
      </c>
      <c r="D546" s="30"/>
      <c r="E546" s="30" t="s">
        <v>0</v>
      </c>
      <c r="F546" s="29">
        <v>200000</v>
      </c>
      <c r="G546" s="28">
        <f>F546*D546</f>
        <v>0</v>
      </c>
      <c r="H546" s="27"/>
    </row>
    <row r="547" spans="1:8" x14ac:dyDescent="0.25">
      <c r="A547" s="20"/>
      <c r="B547" s="40"/>
      <c r="C547" s="43" t="s">
        <v>26</v>
      </c>
      <c r="D547" s="24"/>
      <c r="E547" s="24" t="s">
        <v>0</v>
      </c>
      <c r="F547" s="23">
        <v>450000</v>
      </c>
      <c r="G547" s="22">
        <f>F547*D547</f>
        <v>0</v>
      </c>
      <c r="H547" s="42"/>
    </row>
    <row r="548" spans="1:8" x14ac:dyDescent="0.25">
      <c r="A548" s="20"/>
      <c r="B548" s="40"/>
      <c r="C548" s="41" t="s">
        <v>25</v>
      </c>
      <c r="D548" s="30"/>
      <c r="E548" s="30" t="s">
        <v>0</v>
      </c>
      <c r="F548" s="29">
        <v>150000</v>
      </c>
      <c r="G548" s="28">
        <f t="shared" ref="G548:G564" si="16">F548*D548</f>
        <v>0</v>
      </c>
      <c r="H548" s="27"/>
    </row>
    <row r="549" spans="1:8" x14ac:dyDescent="0.25">
      <c r="A549" s="20"/>
      <c r="B549" s="40"/>
      <c r="C549" s="43" t="s">
        <v>24</v>
      </c>
      <c r="D549" s="24"/>
      <c r="E549" s="24" t="s">
        <v>0</v>
      </c>
      <c r="F549" s="23">
        <v>45000</v>
      </c>
      <c r="G549" s="22">
        <f t="shared" si="16"/>
        <v>0</v>
      </c>
      <c r="H549" s="42"/>
    </row>
    <row r="550" spans="1:8" x14ac:dyDescent="0.25">
      <c r="A550" s="20"/>
      <c r="B550" s="40"/>
      <c r="C550" s="53"/>
      <c r="D550" s="30"/>
      <c r="E550" s="30"/>
      <c r="F550" s="29"/>
      <c r="G550" s="28">
        <f t="shared" si="16"/>
        <v>0</v>
      </c>
      <c r="H550" s="27"/>
    </row>
    <row r="551" spans="1:8" x14ac:dyDescent="0.25">
      <c r="A551" s="20"/>
      <c r="B551" s="40"/>
      <c r="C551" s="43"/>
      <c r="D551" s="24"/>
      <c r="E551" s="24"/>
      <c r="F551" s="23"/>
      <c r="G551" s="22">
        <f t="shared" si="16"/>
        <v>0</v>
      </c>
      <c r="H551" s="42"/>
    </row>
    <row r="552" spans="1:8" x14ac:dyDescent="0.25">
      <c r="A552" s="20"/>
      <c r="B552" s="40"/>
      <c r="C552" s="53"/>
      <c r="D552" s="30"/>
      <c r="E552" s="30"/>
      <c r="F552" s="29"/>
      <c r="G552" s="28">
        <f t="shared" si="16"/>
        <v>0</v>
      </c>
      <c r="H552" s="27"/>
    </row>
    <row r="553" spans="1:8" x14ac:dyDescent="0.25">
      <c r="A553" s="20"/>
      <c r="B553" s="40"/>
      <c r="C553" s="43"/>
      <c r="D553" s="24"/>
      <c r="E553" s="24"/>
      <c r="F553" s="23"/>
      <c r="G553" s="22">
        <f t="shared" si="16"/>
        <v>0</v>
      </c>
      <c r="H553" s="42"/>
    </row>
    <row r="554" spans="1:8" x14ac:dyDescent="0.25">
      <c r="A554" s="20"/>
      <c r="B554" s="40"/>
      <c r="C554" s="53"/>
      <c r="D554" s="30"/>
      <c r="E554" s="30"/>
      <c r="F554" s="29"/>
      <c r="G554" s="28">
        <f t="shared" si="16"/>
        <v>0</v>
      </c>
      <c r="H554" s="27"/>
    </row>
    <row r="555" spans="1:8" x14ac:dyDescent="0.25">
      <c r="A555" s="20"/>
      <c r="B555" s="40"/>
      <c r="C555" s="43"/>
      <c r="D555" s="24"/>
      <c r="E555" s="24"/>
      <c r="F555" s="23"/>
      <c r="G555" s="22">
        <f t="shared" si="16"/>
        <v>0</v>
      </c>
      <c r="H555" s="42"/>
    </row>
    <row r="556" spans="1:8" x14ac:dyDescent="0.25">
      <c r="A556" s="20"/>
      <c r="B556" s="40"/>
      <c r="C556" s="53"/>
      <c r="D556" s="30"/>
      <c r="E556" s="30"/>
      <c r="F556" s="29"/>
      <c r="G556" s="28">
        <f t="shared" si="16"/>
        <v>0</v>
      </c>
      <c r="H556" s="27"/>
    </row>
    <row r="557" spans="1:8" x14ac:dyDescent="0.25">
      <c r="A557" s="20"/>
      <c r="B557" s="40"/>
      <c r="C557" s="43"/>
      <c r="D557" s="24"/>
      <c r="E557" s="24"/>
      <c r="F557" s="23"/>
      <c r="G557" s="22">
        <f t="shared" si="16"/>
        <v>0</v>
      </c>
      <c r="H557" s="42"/>
    </row>
    <row r="558" spans="1:8" x14ac:dyDescent="0.25">
      <c r="A558" s="20"/>
      <c r="B558" s="40"/>
      <c r="C558" s="53"/>
      <c r="D558" s="30"/>
      <c r="E558" s="30"/>
      <c r="F558" s="29"/>
      <c r="G558" s="28">
        <f t="shared" si="16"/>
        <v>0</v>
      </c>
      <c r="H558" s="27"/>
    </row>
    <row r="559" spans="1:8" x14ac:dyDescent="0.25">
      <c r="A559" s="20"/>
      <c r="B559" s="40"/>
      <c r="C559" s="43"/>
      <c r="D559" s="24"/>
      <c r="E559" s="24"/>
      <c r="F559" s="23"/>
      <c r="G559" s="22">
        <f t="shared" si="16"/>
        <v>0</v>
      </c>
      <c r="H559" s="42"/>
    </row>
    <row r="560" spans="1:8" x14ac:dyDescent="0.25">
      <c r="A560" s="20"/>
      <c r="B560" s="40"/>
      <c r="C560" s="53"/>
      <c r="D560" s="30"/>
      <c r="E560" s="30"/>
      <c r="F560" s="29"/>
      <c r="G560" s="28">
        <f t="shared" si="16"/>
        <v>0</v>
      </c>
      <c r="H560" s="27"/>
    </row>
    <row r="561" spans="1:8" x14ac:dyDescent="0.25">
      <c r="A561" s="20"/>
      <c r="B561" s="40"/>
      <c r="C561" s="43"/>
      <c r="D561" s="24"/>
      <c r="E561" s="24"/>
      <c r="F561" s="23"/>
      <c r="G561" s="22">
        <f t="shared" si="16"/>
        <v>0</v>
      </c>
      <c r="H561" s="42"/>
    </row>
    <row r="562" spans="1:8" x14ac:dyDescent="0.25">
      <c r="A562" s="20"/>
      <c r="B562" s="40"/>
      <c r="C562" s="53"/>
      <c r="D562" s="30"/>
      <c r="E562" s="30"/>
      <c r="F562" s="29"/>
      <c r="G562" s="28">
        <f t="shared" si="16"/>
        <v>0</v>
      </c>
      <c r="H562" s="27"/>
    </row>
    <row r="563" spans="1:8" x14ac:dyDescent="0.25">
      <c r="A563" s="20"/>
      <c r="B563" s="40"/>
      <c r="C563" s="43"/>
      <c r="D563" s="24"/>
      <c r="E563" s="24"/>
      <c r="F563" s="23"/>
      <c r="G563" s="22">
        <f t="shared" si="16"/>
        <v>0</v>
      </c>
      <c r="H563" s="42"/>
    </row>
    <row r="564" spans="1:8" ht="15.75" thickBot="1" x14ac:dyDescent="0.3">
      <c r="A564" s="20"/>
      <c r="B564" s="40"/>
      <c r="C564" s="39"/>
      <c r="D564" s="17"/>
      <c r="E564" s="38"/>
      <c r="F564" s="16"/>
      <c r="G564" s="28">
        <f t="shared" si="16"/>
        <v>0</v>
      </c>
      <c r="H564" s="27"/>
    </row>
    <row r="565" spans="1:8" x14ac:dyDescent="0.25">
      <c r="A565" s="20"/>
      <c r="B565" s="37" t="s">
        <v>23</v>
      </c>
      <c r="C565" s="36" t="s">
        <v>22</v>
      </c>
      <c r="D565" s="35"/>
      <c r="E565" s="35" t="s">
        <v>0</v>
      </c>
      <c r="F565" s="34">
        <v>3500</v>
      </c>
      <c r="G565" s="33">
        <f>F565*D565</f>
        <v>0</v>
      </c>
      <c r="H565" s="32"/>
    </row>
    <row r="566" spans="1:8" x14ac:dyDescent="0.25">
      <c r="A566" s="20"/>
      <c r="B566" s="26"/>
      <c r="C566" s="31" t="s">
        <v>21</v>
      </c>
      <c r="D566" s="30"/>
      <c r="E566" s="30" t="s">
        <v>0</v>
      </c>
      <c r="F566" s="29">
        <v>2500</v>
      </c>
      <c r="G566" s="28">
        <f>F566*D566</f>
        <v>0</v>
      </c>
      <c r="H566" s="27"/>
    </row>
    <row r="567" spans="1:8" x14ac:dyDescent="0.25">
      <c r="A567" s="20"/>
      <c r="B567" s="26"/>
      <c r="C567" s="25" t="s">
        <v>20</v>
      </c>
      <c r="D567" s="24"/>
      <c r="E567" s="24" t="s">
        <v>0</v>
      </c>
      <c r="F567" s="23">
        <v>3200</v>
      </c>
      <c r="G567" s="22">
        <f>F567*D567</f>
        <v>0</v>
      </c>
      <c r="H567" s="21"/>
    </row>
    <row r="568" spans="1:8" x14ac:dyDescent="0.25">
      <c r="A568" s="20"/>
      <c r="B568" s="26"/>
      <c r="C568" s="31" t="s">
        <v>19</v>
      </c>
      <c r="D568" s="30"/>
      <c r="E568" s="30" t="s">
        <v>0</v>
      </c>
      <c r="F568" s="29">
        <v>6000</v>
      </c>
      <c r="G568" s="28">
        <f>F568*D568</f>
        <v>0</v>
      </c>
      <c r="H568" s="27"/>
    </row>
    <row r="569" spans="1:8" x14ac:dyDescent="0.25">
      <c r="A569" s="20"/>
      <c r="B569" s="26"/>
      <c r="C569" s="25" t="s">
        <v>18</v>
      </c>
      <c r="D569" s="24"/>
      <c r="E569" s="24" t="s">
        <v>0</v>
      </c>
      <c r="F569" s="23">
        <v>500</v>
      </c>
      <c r="G569" s="22">
        <f t="shared" ref="G569:G612" si="17">F569*D569</f>
        <v>0</v>
      </c>
      <c r="H569" s="21"/>
    </row>
    <row r="570" spans="1:8" x14ac:dyDescent="0.25">
      <c r="A570" s="20"/>
      <c r="B570" s="26"/>
      <c r="C570" s="31" t="s">
        <v>17</v>
      </c>
      <c r="D570" s="30"/>
      <c r="E570" s="30" t="s">
        <v>0</v>
      </c>
      <c r="F570" s="29">
        <v>3000</v>
      </c>
      <c r="G570" s="28">
        <f t="shared" si="17"/>
        <v>0</v>
      </c>
      <c r="H570" s="27"/>
    </row>
    <row r="571" spans="1:8" x14ac:dyDescent="0.25">
      <c r="A571" s="20"/>
      <c r="B571" s="26"/>
      <c r="C571" s="25" t="s">
        <v>16</v>
      </c>
      <c r="D571" s="24"/>
      <c r="E571" s="24" t="s">
        <v>0</v>
      </c>
      <c r="F571" s="23">
        <v>3000</v>
      </c>
      <c r="G571" s="22">
        <f t="shared" si="17"/>
        <v>0</v>
      </c>
      <c r="H571" s="21"/>
    </row>
    <row r="572" spans="1:8" x14ac:dyDescent="0.25">
      <c r="A572" s="20"/>
      <c r="B572" s="26"/>
      <c r="C572" s="31" t="s">
        <v>15</v>
      </c>
      <c r="D572" s="30"/>
      <c r="E572" s="30" t="s">
        <v>0</v>
      </c>
      <c r="F572" s="29">
        <v>16000</v>
      </c>
      <c r="G572" s="28">
        <f t="shared" si="17"/>
        <v>0</v>
      </c>
      <c r="H572" s="27"/>
    </row>
    <row r="573" spans="1:8" x14ac:dyDescent="0.25">
      <c r="A573" s="20"/>
      <c r="B573" s="26"/>
      <c r="C573" s="25" t="s">
        <v>14</v>
      </c>
      <c r="D573" s="24"/>
      <c r="E573" s="24" t="s">
        <v>0</v>
      </c>
      <c r="F573" s="23">
        <v>1500</v>
      </c>
      <c r="G573" s="22">
        <f t="shared" si="17"/>
        <v>0</v>
      </c>
      <c r="H573" s="21"/>
    </row>
    <row r="574" spans="1:8" x14ac:dyDescent="0.25">
      <c r="A574" s="20"/>
      <c r="B574" s="26"/>
      <c r="C574" s="31" t="s">
        <v>13</v>
      </c>
      <c r="D574" s="30"/>
      <c r="E574" s="30" t="s">
        <v>0</v>
      </c>
      <c r="F574" s="29">
        <v>4000</v>
      </c>
      <c r="G574" s="28">
        <f t="shared" si="17"/>
        <v>0</v>
      </c>
      <c r="H574" s="27"/>
    </row>
    <row r="575" spans="1:8" x14ac:dyDescent="0.25">
      <c r="A575" s="20"/>
      <c r="B575" s="26"/>
      <c r="C575" s="25" t="s">
        <v>12</v>
      </c>
      <c r="D575" s="24"/>
      <c r="E575" s="24" t="s">
        <v>0</v>
      </c>
      <c r="F575" s="23">
        <v>15000</v>
      </c>
      <c r="G575" s="22">
        <f t="shared" si="17"/>
        <v>0</v>
      </c>
      <c r="H575" s="21"/>
    </row>
    <row r="576" spans="1:8" x14ac:dyDescent="0.25">
      <c r="A576" s="20"/>
      <c r="B576" s="26"/>
      <c r="C576" s="31" t="s">
        <v>1</v>
      </c>
      <c r="D576" s="30"/>
      <c r="E576" s="30" t="s">
        <v>0</v>
      </c>
      <c r="F576" s="29">
        <v>250000</v>
      </c>
      <c r="G576" s="28">
        <f t="shared" si="17"/>
        <v>0</v>
      </c>
      <c r="H576" s="27"/>
    </row>
    <row r="577" spans="1:8" x14ac:dyDescent="0.25">
      <c r="A577" s="20"/>
      <c r="B577" s="26"/>
      <c r="C577" s="25" t="s">
        <v>11</v>
      </c>
      <c r="D577" s="24"/>
      <c r="E577" s="24" t="s">
        <v>0</v>
      </c>
      <c r="F577" s="23">
        <v>3000</v>
      </c>
      <c r="G577" s="22">
        <f t="shared" si="17"/>
        <v>0</v>
      </c>
      <c r="H577" s="21"/>
    </row>
    <row r="578" spans="1:8" x14ac:dyDescent="0.25">
      <c r="A578" s="20"/>
      <c r="B578" s="26"/>
      <c r="C578" s="31" t="s">
        <v>10</v>
      </c>
      <c r="D578" s="30"/>
      <c r="E578" s="30" t="s">
        <v>0</v>
      </c>
      <c r="F578" s="29">
        <v>3000</v>
      </c>
      <c r="G578" s="28">
        <f t="shared" si="17"/>
        <v>0</v>
      </c>
      <c r="H578" s="27"/>
    </row>
    <row r="579" spans="1:8" x14ac:dyDescent="0.25">
      <c r="A579" s="20"/>
      <c r="B579" s="26"/>
      <c r="C579" s="25" t="s">
        <v>9</v>
      </c>
      <c r="D579" s="24"/>
      <c r="E579" s="24" t="s">
        <v>0</v>
      </c>
      <c r="F579" s="23">
        <v>5000</v>
      </c>
      <c r="G579" s="22">
        <f t="shared" si="17"/>
        <v>0</v>
      </c>
      <c r="H579" s="21"/>
    </row>
    <row r="580" spans="1:8" x14ac:dyDescent="0.25">
      <c r="A580" s="20"/>
      <c r="B580" s="26"/>
      <c r="C580" s="31" t="s">
        <v>8</v>
      </c>
      <c r="D580" s="30"/>
      <c r="E580" s="30" t="s">
        <v>0</v>
      </c>
      <c r="F580" s="29">
        <v>3500</v>
      </c>
      <c r="G580" s="28">
        <f t="shared" si="17"/>
        <v>0</v>
      </c>
      <c r="H580" s="27"/>
    </row>
    <row r="581" spans="1:8" x14ac:dyDescent="0.25">
      <c r="A581" s="20"/>
      <c r="B581" s="26"/>
      <c r="C581" s="25" t="s">
        <v>7</v>
      </c>
      <c r="D581" s="24"/>
      <c r="E581" s="24" t="s">
        <v>0</v>
      </c>
      <c r="F581" s="23">
        <v>140000</v>
      </c>
      <c r="G581" s="22">
        <f t="shared" si="17"/>
        <v>0</v>
      </c>
      <c r="H581" s="21"/>
    </row>
    <row r="582" spans="1:8" x14ac:dyDescent="0.25">
      <c r="A582" s="20"/>
      <c r="B582" s="26"/>
      <c r="C582" s="31" t="s">
        <v>6</v>
      </c>
      <c r="D582" s="30"/>
      <c r="E582" s="30" t="s">
        <v>0</v>
      </c>
      <c r="F582" s="29">
        <v>200000</v>
      </c>
      <c r="G582" s="28">
        <f t="shared" si="17"/>
        <v>0</v>
      </c>
      <c r="H582" s="27"/>
    </row>
    <row r="583" spans="1:8" x14ac:dyDescent="0.25">
      <c r="A583" s="20"/>
      <c r="B583" s="26"/>
      <c r="C583" s="25" t="s">
        <v>5</v>
      </c>
      <c r="D583" s="24"/>
      <c r="E583" s="24" t="s">
        <v>4</v>
      </c>
      <c r="F583" s="23">
        <v>1000</v>
      </c>
      <c r="G583" s="22">
        <f t="shared" si="17"/>
        <v>0</v>
      </c>
      <c r="H583" s="21"/>
    </row>
    <row r="584" spans="1:8" x14ac:dyDescent="0.25">
      <c r="A584" s="20"/>
      <c r="B584" s="26"/>
      <c r="C584" s="31" t="s">
        <v>3</v>
      </c>
      <c r="D584" s="30"/>
      <c r="E584" s="30" t="s">
        <v>0</v>
      </c>
      <c r="F584" s="29">
        <v>30000</v>
      </c>
      <c r="G584" s="28">
        <f t="shared" si="17"/>
        <v>0</v>
      </c>
      <c r="H584" s="27"/>
    </row>
    <row r="585" spans="1:8" x14ac:dyDescent="0.25">
      <c r="A585" s="20"/>
      <c r="B585" s="26"/>
      <c r="C585" s="25" t="s">
        <v>2</v>
      </c>
      <c r="D585" s="24"/>
      <c r="E585" s="24" t="s">
        <v>0</v>
      </c>
      <c r="F585" s="23">
        <v>40000</v>
      </c>
      <c r="G585" s="22">
        <f t="shared" si="17"/>
        <v>0</v>
      </c>
      <c r="H585" s="21"/>
    </row>
    <row r="586" spans="1:8" x14ac:dyDescent="0.25">
      <c r="A586" s="20"/>
      <c r="B586" s="26"/>
      <c r="C586" s="53" t="s">
        <v>1</v>
      </c>
      <c r="D586" s="30"/>
      <c r="E586" s="30"/>
      <c r="F586" s="29"/>
      <c r="G586" s="28">
        <f t="shared" si="17"/>
        <v>0</v>
      </c>
      <c r="H586" s="27"/>
    </row>
    <row r="587" spans="1:8" x14ac:dyDescent="0.25">
      <c r="A587" s="20"/>
      <c r="B587" s="26"/>
      <c r="C587" s="25"/>
      <c r="D587" s="24"/>
      <c r="E587" s="24"/>
      <c r="F587" s="23"/>
      <c r="G587" s="22">
        <f t="shared" si="17"/>
        <v>0</v>
      </c>
      <c r="H587" s="21"/>
    </row>
    <row r="588" spans="1:8" x14ac:dyDescent="0.25">
      <c r="A588" s="20"/>
      <c r="B588" s="26"/>
      <c r="C588" s="53"/>
      <c r="D588" s="30"/>
      <c r="E588" s="30"/>
      <c r="F588" s="29"/>
      <c r="G588" s="28">
        <f t="shared" si="17"/>
        <v>0</v>
      </c>
      <c r="H588" s="27"/>
    </row>
    <row r="589" spans="1:8" x14ac:dyDescent="0.25">
      <c r="A589" s="20"/>
      <c r="B589" s="26"/>
      <c r="C589" s="25"/>
      <c r="D589" s="24"/>
      <c r="E589" s="24"/>
      <c r="F589" s="23"/>
      <c r="G589" s="22">
        <f t="shared" si="17"/>
        <v>0</v>
      </c>
      <c r="H589" s="21"/>
    </row>
    <row r="590" spans="1:8" x14ac:dyDescent="0.25">
      <c r="A590" s="20"/>
      <c r="B590" s="26"/>
      <c r="C590" s="53"/>
      <c r="D590" s="30"/>
      <c r="E590" s="30"/>
      <c r="F590" s="29"/>
      <c r="G590" s="28">
        <f t="shared" ref="G590:G603" si="18">F590*D590</f>
        <v>0</v>
      </c>
      <c r="H590" s="27"/>
    </row>
    <row r="591" spans="1:8" x14ac:dyDescent="0.25">
      <c r="A591" s="20"/>
      <c r="B591" s="26"/>
      <c r="C591" s="25"/>
      <c r="D591" s="24"/>
      <c r="E591" s="24"/>
      <c r="F591" s="23"/>
      <c r="G591" s="22">
        <f t="shared" si="18"/>
        <v>0</v>
      </c>
      <c r="H591" s="21"/>
    </row>
    <row r="592" spans="1:8" x14ac:dyDescent="0.25">
      <c r="A592" s="20"/>
      <c r="B592" s="26"/>
      <c r="C592" s="53"/>
      <c r="D592" s="30"/>
      <c r="E592" s="30"/>
      <c r="F592" s="29"/>
      <c r="G592" s="28">
        <f t="shared" si="18"/>
        <v>0</v>
      </c>
      <c r="H592" s="27"/>
    </row>
    <row r="593" spans="1:8" x14ac:dyDescent="0.25">
      <c r="A593" s="20"/>
      <c r="B593" s="26"/>
      <c r="C593" s="25"/>
      <c r="D593" s="24"/>
      <c r="E593" s="24"/>
      <c r="F593" s="23"/>
      <c r="G593" s="22">
        <f t="shared" si="18"/>
        <v>0</v>
      </c>
      <c r="H593" s="21"/>
    </row>
    <row r="594" spans="1:8" x14ac:dyDescent="0.25">
      <c r="A594" s="20"/>
      <c r="B594" s="26"/>
      <c r="C594" s="53"/>
      <c r="D594" s="30"/>
      <c r="E594" s="30"/>
      <c r="F594" s="29"/>
      <c r="G594" s="28">
        <f t="shared" si="18"/>
        <v>0</v>
      </c>
      <c r="H594" s="27"/>
    </row>
    <row r="595" spans="1:8" x14ac:dyDescent="0.25">
      <c r="A595" s="20"/>
      <c r="B595" s="26"/>
      <c r="C595" s="25"/>
      <c r="D595" s="24"/>
      <c r="E595" s="24"/>
      <c r="F595" s="23"/>
      <c r="G595" s="22">
        <f t="shared" si="18"/>
        <v>0</v>
      </c>
      <c r="H595" s="21"/>
    </row>
    <row r="596" spans="1:8" x14ac:dyDescent="0.25">
      <c r="A596" s="20"/>
      <c r="B596" s="26"/>
      <c r="C596" s="53"/>
      <c r="D596" s="30"/>
      <c r="E596" s="30"/>
      <c r="F596" s="29"/>
      <c r="G596" s="28">
        <f t="shared" si="18"/>
        <v>0</v>
      </c>
      <c r="H596" s="27"/>
    </row>
    <row r="597" spans="1:8" x14ac:dyDescent="0.25">
      <c r="A597" s="20"/>
      <c r="B597" s="26"/>
      <c r="C597" s="25"/>
      <c r="D597" s="24"/>
      <c r="E597" s="24"/>
      <c r="F597" s="23"/>
      <c r="G597" s="22">
        <f t="shared" si="18"/>
        <v>0</v>
      </c>
      <c r="H597" s="21"/>
    </row>
    <row r="598" spans="1:8" x14ac:dyDescent="0.25">
      <c r="A598" s="20"/>
      <c r="B598" s="26"/>
      <c r="C598" s="53"/>
      <c r="D598" s="30"/>
      <c r="E598" s="30"/>
      <c r="F598" s="29"/>
      <c r="G598" s="28">
        <f t="shared" si="18"/>
        <v>0</v>
      </c>
      <c r="H598" s="27"/>
    </row>
    <row r="599" spans="1:8" x14ac:dyDescent="0.25">
      <c r="A599" s="20"/>
      <c r="B599" s="26"/>
      <c r="C599" s="25"/>
      <c r="D599" s="24"/>
      <c r="E599" s="24"/>
      <c r="F599" s="23"/>
      <c r="G599" s="22">
        <f t="shared" si="18"/>
        <v>0</v>
      </c>
      <c r="H599" s="21"/>
    </row>
    <row r="600" spans="1:8" x14ac:dyDescent="0.25">
      <c r="A600" s="20"/>
      <c r="B600" s="26"/>
      <c r="C600" s="53"/>
      <c r="D600" s="30"/>
      <c r="E600" s="30"/>
      <c r="F600" s="29"/>
      <c r="G600" s="28">
        <f t="shared" si="18"/>
        <v>0</v>
      </c>
      <c r="H600" s="27"/>
    </row>
    <row r="601" spans="1:8" x14ac:dyDescent="0.25">
      <c r="A601" s="20"/>
      <c r="B601" s="26"/>
      <c r="C601" s="25"/>
      <c r="D601" s="24"/>
      <c r="E601" s="24"/>
      <c r="F601" s="23"/>
      <c r="G601" s="22">
        <f t="shared" si="18"/>
        <v>0</v>
      </c>
      <c r="H601" s="21"/>
    </row>
    <row r="602" spans="1:8" x14ac:dyDescent="0.25">
      <c r="A602" s="20"/>
      <c r="B602" s="26"/>
      <c r="C602" s="53"/>
      <c r="D602" s="30"/>
      <c r="E602" s="30"/>
      <c r="F602" s="29"/>
      <c r="G602" s="28">
        <f t="shared" si="18"/>
        <v>0</v>
      </c>
      <c r="H602" s="27"/>
    </row>
    <row r="603" spans="1:8" x14ac:dyDescent="0.25">
      <c r="A603" s="20"/>
      <c r="B603" s="26"/>
      <c r="C603" s="25"/>
      <c r="D603" s="24"/>
      <c r="E603" s="24"/>
      <c r="F603" s="23"/>
      <c r="G603" s="22">
        <f t="shared" si="18"/>
        <v>0</v>
      </c>
      <c r="H603" s="21"/>
    </row>
    <row r="604" spans="1:8" x14ac:dyDescent="0.25">
      <c r="A604" s="20"/>
      <c r="B604" s="26"/>
      <c r="C604" s="53"/>
      <c r="D604" s="30"/>
      <c r="E604" s="30"/>
      <c r="F604" s="29"/>
      <c r="G604" s="28">
        <f t="shared" si="17"/>
        <v>0</v>
      </c>
      <c r="H604" s="27"/>
    </row>
    <row r="605" spans="1:8" x14ac:dyDescent="0.25">
      <c r="A605" s="20"/>
      <c r="B605" s="26"/>
      <c r="C605" s="25"/>
      <c r="D605" s="24"/>
      <c r="E605" s="24"/>
      <c r="F605" s="23"/>
      <c r="G605" s="22">
        <f t="shared" si="17"/>
        <v>0</v>
      </c>
      <c r="H605" s="21"/>
    </row>
    <row r="606" spans="1:8" x14ac:dyDescent="0.25">
      <c r="A606" s="20"/>
      <c r="B606" s="26"/>
      <c r="C606" s="53"/>
      <c r="D606" s="30"/>
      <c r="E606" s="30"/>
      <c r="F606" s="29"/>
      <c r="G606" s="28">
        <f t="shared" si="17"/>
        <v>0</v>
      </c>
      <c r="H606" s="27"/>
    </row>
    <row r="607" spans="1:8" x14ac:dyDescent="0.25">
      <c r="A607" s="20"/>
      <c r="B607" s="26"/>
      <c r="C607" s="25"/>
      <c r="D607" s="24"/>
      <c r="E607" s="24"/>
      <c r="F607" s="23"/>
      <c r="G607" s="22">
        <f t="shared" si="17"/>
        <v>0</v>
      </c>
      <c r="H607" s="21"/>
    </row>
    <row r="608" spans="1:8" x14ac:dyDescent="0.25">
      <c r="A608" s="20"/>
      <c r="B608" s="26"/>
      <c r="C608" s="53"/>
      <c r="D608" s="30"/>
      <c r="E608" s="30"/>
      <c r="F608" s="29"/>
      <c r="G608" s="28">
        <f t="shared" si="17"/>
        <v>0</v>
      </c>
      <c r="H608" s="27"/>
    </row>
    <row r="609" spans="1:8" x14ac:dyDescent="0.25">
      <c r="A609" s="20"/>
      <c r="B609" s="26"/>
      <c r="C609" s="25"/>
      <c r="D609" s="24"/>
      <c r="E609" s="24"/>
      <c r="F609" s="23"/>
      <c r="G609" s="22">
        <f t="shared" si="17"/>
        <v>0</v>
      </c>
      <c r="H609" s="21"/>
    </row>
    <row r="610" spans="1:8" x14ac:dyDescent="0.25">
      <c r="A610" s="20"/>
      <c r="B610" s="26"/>
      <c r="C610" s="53"/>
      <c r="D610" s="30"/>
      <c r="E610" s="30"/>
      <c r="F610" s="29"/>
      <c r="G610" s="28">
        <f t="shared" si="17"/>
        <v>0</v>
      </c>
      <c r="H610" s="27"/>
    </row>
    <row r="611" spans="1:8" x14ac:dyDescent="0.25">
      <c r="A611" s="20"/>
      <c r="B611" s="26"/>
      <c r="C611" s="25"/>
      <c r="D611" s="24"/>
      <c r="E611" s="24"/>
      <c r="F611" s="23"/>
      <c r="G611" s="22">
        <f t="shared" si="17"/>
        <v>0</v>
      </c>
      <c r="H611" s="21"/>
    </row>
    <row r="612" spans="1:8" x14ac:dyDescent="0.25">
      <c r="A612" s="20"/>
      <c r="B612" s="26"/>
      <c r="C612" s="31"/>
      <c r="D612" s="30"/>
      <c r="E612" s="30"/>
      <c r="F612" s="29"/>
      <c r="G612" s="28">
        <f t="shared" si="17"/>
        <v>0</v>
      </c>
      <c r="H612" s="27"/>
    </row>
    <row r="613" spans="1:8" x14ac:dyDescent="0.25">
      <c r="A613" s="20"/>
      <c r="B613" s="26"/>
      <c r="C613" s="25"/>
      <c r="D613" s="24"/>
      <c r="E613" s="24"/>
      <c r="F613" s="23"/>
      <c r="G613" s="22">
        <f>F613*D613</f>
        <v>0</v>
      </c>
      <c r="H613" s="21"/>
    </row>
    <row r="614" spans="1:8" ht="15.75" thickBot="1" x14ac:dyDescent="0.3">
      <c r="A614" s="20"/>
      <c r="B614" s="19"/>
      <c r="C614" s="18"/>
      <c r="D614" s="17"/>
      <c r="E614" s="17"/>
      <c r="F614" s="16"/>
      <c r="G614" s="15">
        <f>F614*D614</f>
        <v>0</v>
      </c>
      <c r="H614" s="14"/>
    </row>
    <row r="615" spans="1:8" x14ac:dyDescent="0.25">
      <c r="B615" s="13"/>
      <c r="E615" s="7"/>
      <c r="F615" s="11"/>
      <c r="G615" s="12"/>
      <c r="H615" s="7"/>
    </row>
    <row r="616" spans="1:8" x14ac:dyDescent="0.25">
      <c r="B616"/>
      <c r="D616"/>
    </row>
    <row r="617" spans="1:8" ht="15" customHeight="1" x14ac:dyDescent="0.35">
      <c r="A617" s="8"/>
      <c r="B617"/>
      <c r="D617"/>
    </row>
    <row r="618" spans="1:8" x14ac:dyDescent="0.25">
      <c r="A618" s="11"/>
      <c r="B618"/>
      <c r="D618"/>
    </row>
    <row r="619" spans="1:8" ht="15" customHeight="1" x14ac:dyDescent="0.25">
      <c r="A619" s="11"/>
      <c r="B619"/>
      <c r="D619"/>
    </row>
    <row r="620" spans="1:8" x14ac:dyDescent="0.25">
      <c r="B620"/>
      <c r="D620"/>
    </row>
    <row r="621" spans="1:8" x14ac:dyDescent="0.25">
      <c r="A621" s="7"/>
      <c r="B621"/>
      <c r="D621"/>
    </row>
    <row r="622" spans="1:8" x14ac:dyDescent="0.25">
      <c r="A622" s="7"/>
      <c r="B622"/>
      <c r="D622"/>
    </row>
    <row r="623" spans="1:8" x14ac:dyDescent="0.25">
      <c r="B623"/>
      <c r="D623"/>
    </row>
    <row r="624" spans="1:8" x14ac:dyDescent="0.25">
      <c r="B624"/>
      <c r="D624"/>
    </row>
    <row r="625" spans="1:4" x14ac:dyDescent="0.25">
      <c r="A625" s="7"/>
      <c r="B625"/>
      <c r="D625"/>
    </row>
    <row r="626" spans="1:4" x14ac:dyDescent="0.25">
      <c r="A626" s="7"/>
      <c r="B626"/>
      <c r="D626"/>
    </row>
    <row r="627" spans="1:4" x14ac:dyDescent="0.25">
      <c r="A627" s="7"/>
      <c r="B627"/>
      <c r="D627"/>
    </row>
    <row r="628" spans="1:4" x14ac:dyDescent="0.25">
      <c r="A628" s="10"/>
      <c r="B628"/>
      <c r="D628"/>
    </row>
    <row r="629" spans="1:4" x14ac:dyDescent="0.25">
      <c r="B629"/>
      <c r="D629"/>
    </row>
    <row r="630" spans="1:4" x14ac:dyDescent="0.25">
      <c r="A630" s="9"/>
      <c r="B630"/>
      <c r="D630"/>
    </row>
    <row r="631" spans="1:4" x14ac:dyDescent="0.25">
      <c r="B631"/>
      <c r="D631"/>
    </row>
    <row r="632" spans="1:4" ht="15" customHeight="1" x14ac:dyDescent="0.35">
      <c r="A632" s="8"/>
      <c r="B632"/>
      <c r="D632"/>
    </row>
    <row r="633" spans="1:4" x14ac:dyDescent="0.25">
      <c r="B633"/>
      <c r="D633"/>
    </row>
    <row r="634" spans="1:4" ht="15" customHeight="1" x14ac:dyDescent="0.25">
      <c r="A634" s="7"/>
      <c r="B634"/>
      <c r="D634"/>
    </row>
    <row r="635" spans="1:4" x14ac:dyDescent="0.25">
      <c r="B635"/>
      <c r="D635"/>
    </row>
    <row r="636" spans="1:4" ht="15" customHeight="1" x14ac:dyDescent="0.25">
      <c r="A636" s="7"/>
      <c r="B636"/>
      <c r="D636"/>
    </row>
    <row r="637" spans="1:4" x14ac:dyDescent="0.25">
      <c r="A637" s="7"/>
      <c r="B637"/>
      <c r="D637"/>
    </row>
    <row r="638" spans="1:4" x14ac:dyDescent="0.25">
      <c r="A638" s="7"/>
      <c r="B638"/>
      <c r="D638"/>
    </row>
    <row r="639" spans="1:4" x14ac:dyDescent="0.25">
      <c r="A639" s="7"/>
      <c r="B639"/>
      <c r="D639"/>
    </row>
    <row r="640" spans="1:4" x14ac:dyDescent="0.25">
      <c r="B640"/>
      <c r="D640"/>
    </row>
    <row r="641" spans="2:12" x14ac:dyDescent="0.25">
      <c r="B641"/>
      <c r="D641"/>
    </row>
    <row r="642" spans="2:12" x14ac:dyDescent="0.25">
      <c r="B642"/>
      <c r="D642"/>
    </row>
    <row r="643" spans="2:12" x14ac:dyDescent="0.25">
      <c r="B643"/>
      <c r="D643"/>
    </row>
    <row r="644" spans="2:12" x14ac:dyDescent="0.25">
      <c r="B644"/>
      <c r="D644"/>
    </row>
    <row r="645" spans="2:12" x14ac:dyDescent="0.25">
      <c r="B645"/>
      <c r="D645"/>
    </row>
    <row r="646" spans="2:12" x14ac:dyDescent="0.25">
      <c r="B646"/>
      <c r="D646"/>
    </row>
    <row r="647" spans="2:12" x14ac:dyDescent="0.25">
      <c r="B647"/>
      <c r="D647"/>
    </row>
    <row r="648" spans="2:12" x14ac:dyDescent="0.25">
      <c r="B648"/>
      <c r="D648"/>
    </row>
    <row r="649" spans="2:12" x14ac:dyDescent="0.25">
      <c r="B649"/>
      <c r="D649"/>
    </row>
    <row r="650" spans="2:12" x14ac:dyDescent="0.25">
      <c r="B650"/>
      <c r="D650"/>
    </row>
    <row r="651" spans="2:12" x14ac:dyDescent="0.25">
      <c r="B651"/>
      <c r="D651"/>
    </row>
    <row r="652" spans="2:12" x14ac:dyDescent="0.25">
      <c r="B652"/>
      <c r="D652"/>
    </row>
    <row r="653" spans="2:12" x14ac:dyDescent="0.25">
      <c r="B653"/>
      <c r="D653"/>
      <c r="H653" s="3"/>
    </row>
    <row r="654" spans="2:12" x14ac:dyDescent="0.25">
      <c r="B654"/>
      <c r="F654" s="6"/>
      <c r="G654" s="6"/>
      <c r="H654" s="6"/>
    </row>
    <row r="655" spans="2:12" x14ac:dyDescent="0.25">
      <c r="B655"/>
      <c r="F655" s="6"/>
      <c r="G655" s="6"/>
      <c r="H655" s="6"/>
    </row>
    <row r="656" spans="2:12" x14ac:dyDescent="0.25">
      <c r="B656"/>
      <c r="F656" s="6"/>
      <c r="G656" s="6"/>
      <c r="H656" s="6"/>
      <c r="L656" s="5"/>
    </row>
    <row r="657" spans="2:12" x14ac:dyDescent="0.25">
      <c r="B657"/>
      <c r="F657" s="6"/>
      <c r="G657" s="6"/>
      <c r="H657" s="6"/>
      <c r="L657" s="5"/>
    </row>
    <row r="658" spans="2:12" x14ac:dyDescent="0.25">
      <c r="B658"/>
      <c r="G658" s="4"/>
    </row>
    <row r="659" spans="2:12" x14ac:dyDescent="0.25">
      <c r="B659"/>
      <c r="F659" s="3"/>
    </row>
    <row r="660" spans="2:12" x14ac:dyDescent="0.25">
      <c r="B660"/>
    </row>
    <row r="661" spans="2:12" x14ac:dyDescent="0.25">
      <c r="B661"/>
    </row>
    <row r="662" spans="2:12" x14ac:dyDescent="0.25">
      <c r="B662"/>
    </row>
    <row r="663" spans="2:12" x14ac:dyDescent="0.25">
      <c r="B663"/>
    </row>
    <row r="664" spans="2:12" x14ac:dyDescent="0.25">
      <c r="B664"/>
    </row>
    <row r="665" spans="2:12" x14ac:dyDescent="0.25">
      <c r="B665"/>
    </row>
    <row r="666" spans="2:12" x14ac:dyDescent="0.25">
      <c r="B666"/>
    </row>
    <row r="667" spans="2:12" x14ac:dyDescent="0.25">
      <c r="B667"/>
    </row>
    <row r="668" spans="2:12" x14ac:dyDescent="0.25">
      <c r="B668"/>
    </row>
    <row r="669" spans="2:12" x14ac:dyDescent="0.25">
      <c r="B669"/>
    </row>
    <row r="670" spans="2:12" x14ac:dyDescent="0.25">
      <c r="B670"/>
    </row>
    <row r="671" spans="2:12" x14ac:dyDescent="0.25">
      <c r="B671"/>
    </row>
    <row r="672" spans="2:1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  <row r="736" spans="2:2" x14ac:dyDescent="0.25">
      <c r="B736"/>
    </row>
    <row r="737" spans="2:2" x14ac:dyDescent="0.25">
      <c r="B737"/>
    </row>
    <row r="738" spans="2:2" x14ac:dyDescent="0.25">
      <c r="B738"/>
    </row>
    <row r="739" spans="2:2" x14ac:dyDescent="0.25">
      <c r="B739"/>
    </row>
    <row r="740" spans="2:2" x14ac:dyDescent="0.25">
      <c r="B740"/>
    </row>
    <row r="741" spans="2:2" x14ac:dyDescent="0.25">
      <c r="B741"/>
    </row>
    <row r="742" spans="2:2" x14ac:dyDescent="0.25">
      <c r="B742"/>
    </row>
    <row r="743" spans="2:2" x14ac:dyDescent="0.25">
      <c r="B743"/>
    </row>
    <row r="744" spans="2:2" x14ac:dyDescent="0.25">
      <c r="B744"/>
    </row>
    <row r="745" spans="2:2" x14ac:dyDescent="0.25">
      <c r="B745"/>
    </row>
    <row r="746" spans="2:2" x14ac:dyDescent="0.25">
      <c r="B746"/>
    </row>
    <row r="747" spans="2:2" x14ac:dyDescent="0.25">
      <c r="B747"/>
    </row>
    <row r="748" spans="2:2" x14ac:dyDescent="0.25">
      <c r="B748"/>
    </row>
    <row r="749" spans="2:2" x14ac:dyDescent="0.25">
      <c r="B749"/>
    </row>
    <row r="750" spans="2:2" x14ac:dyDescent="0.25">
      <c r="B750"/>
    </row>
    <row r="751" spans="2:2" x14ac:dyDescent="0.25">
      <c r="B751"/>
    </row>
    <row r="752" spans="2:2" x14ac:dyDescent="0.25">
      <c r="B752"/>
    </row>
    <row r="753" spans="2:2" x14ac:dyDescent="0.25">
      <c r="B753"/>
    </row>
    <row r="754" spans="2:2" x14ac:dyDescent="0.25">
      <c r="B754"/>
    </row>
    <row r="755" spans="2:2" x14ac:dyDescent="0.25">
      <c r="B755"/>
    </row>
    <row r="756" spans="2:2" x14ac:dyDescent="0.25">
      <c r="B756"/>
    </row>
    <row r="757" spans="2:2" x14ac:dyDescent="0.25">
      <c r="B757"/>
    </row>
    <row r="758" spans="2:2" x14ac:dyDescent="0.25">
      <c r="B758"/>
    </row>
    <row r="759" spans="2:2" x14ac:dyDescent="0.25">
      <c r="B759"/>
    </row>
    <row r="760" spans="2:2" x14ac:dyDescent="0.25">
      <c r="B760"/>
    </row>
    <row r="761" spans="2:2" x14ac:dyDescent="0.25">
      <c r="B761"/>
    </row>
    <row r="762" spans="2:2" x14ac:dyDescent="0.25">
      <c r="B762"/>
    </row>
    <row r="763" spans="2:2" x14ac:dyDescent="0.25">
      <c r="B763"/>
    </row>
    <row r="764" spans="2:2" x14ac:dyDescent="0.25">
      <c r="B764"/>
    </row>
    <row r="765" spans="2:2" x14ac:dyDescent="0.25">
      <c r="B765"/>
    </row>
    <row r="766" spans="2:2" x14ac:dyDescent="0.25">
      <c r="B766"/>
    </row>
    <row r="767" spans="2:2" x14ac:dyDescent="0.25">
      <c r="B767"/>
    </row>
    <row r="768" spans="2:2" x14ac:dyDescent="0.25">
      <c r="B768"/>
    </row>
    <row r="769" spans="2:2" x14ac:dyDescent="0.25">
      <c r="B769"/>
    </row>
    <row r="770" spans="2:2" x14ac:dyDescent="0.25">
      <c r="B770"/>
    </row>
    <row r="771" spans="2:2" x14ac:dyDescent="0.25">
      <c r="B771"/>
    </row>
    <row r="772" spans="2:2" x14ac:dyDescent="0.25">
      <c r="B772"/>
    </row>
    <row r="773" spans="2:2" x14ac:dyDescent="0.25">
      <c r="B773"/>
    </row>
    <row r="774" spans="2:2" x14ac:dyDescent="0.25">
      <c r="B774"/>
    </row>
    <row r="775" spans="2:2" x14ac:dyDescent="0.25">
      <c r="B775"/>
    </row>
    <row r="776" spans="2:2" x14ac:dyDescent="0.25">
      <c r="B776"/>
    </row>
    <row r="777" spans="2:2" x14ac:dyDescent="0.25">
      <c r="B777"/>
    </row>
    <row r="778" spans="2:2" x14ac:dyDescent="0.25">
      <c r="B778"/>
    </row>
    <row r="779" spans="2:2" x14ac:dyDescent="0.25">
      <c r="B779"/>
    </row>
    <row r="780" spans="2:2" x14ac:dyDescent="0.25">
      <c r="B780"/>
    </row>
    <row r="781" spans="2:2" x14ac:dyDescent="0.25">
      <c r="B781"/>
    </row>
    <row r="782" spans="2:2" x14ac:dyDescent="0.25">
      <c r="B782"/>
    </row>
    <row r="783" spans="2:2" x14ac:dyDescent="0.25">
      <c r="B783"/>
    </row>
    <row r="784" spans="2:2" x14ac:dyDescent="0.25">
      <c r="B784"/>
    </row>
    <row r="785" spans="2:2" x14ac:dyDescent="0.25">
      <c r="B785"/>
    </row>
    <row r="786" spans="2:2" x14ac:dyDescent="0.25">
      <c r="B786"/>
    </row>
    <row r="787" spans="2:2" x14ac:dyDescent="0.25">
      <c r="B787"/>
    </row>
    <row r="788" spans="2:2" x14ac:dyDescent="0.25">
      <c r="B788"/>
    </row>
    <row r="789" spans="2:2" x14ac:dyDescent="0.25">
      <c r="B789"/>
    </row>
    <row r="790" spans="2:2" x14ac:dyDescent="0.25">
      <c r="B790"/>
    </row>
    <row r="791" spans="2:2" x14ac:dyDescent="0.25">
      <c r="B791"/>
    </row>
    <row r="792" spans="2:2" x14ac:dyDescent="0.25">
      <c r="B792"/>
    </row>
    <row r="793" spans="2:2" x14ac:dyDescent="0.25">
      <c r="B793"/>
    </row>
    <row r="794" spans="2:2" x14ac:dyDescent="0.25">
      <c r="B794"/>
    </row>
    <row r="795" spans="2:2" x14ac:dyDescent="0.25">
      <c r="B795"/>
    </row>
    <row r="796" spans="2:2" x14ac:dyDescent="0.25">
      <c r="B796"/>
    </row>
    <row r="797" spans="2:2" x14ac:dyDescent="0.25">
      <c r="B797"/>
    </row>
    <row r="798" spans="2:2" x14ac:dyDescent="0.25">
      <c r="B798"/>
    </row>
    <row r="799" spans="2:2" x14ac:dyDescent="0.25">
      <c r="B799"/>
    </row>
    <row r="800" spans="2:2" x14ac:dyDescent="0.25">
      <c r="B800"/>
    </row>
    <row r="801" spans="2:2" x14ac:dyDescent="0.25">
      <c r="B801"/>
    </row>
    <row r="802" spans="2:2" x14ac:dyDescent="0.25">
      <c r="B802"/>
    </row>
    <row r="803" spans="2:2" x14ac:dyDescent="0.25">
      <c r="B803"/>
    </row>
    <row r="804" spans="2:2" x14ac:dyDescent="0.25">
      <c r="B804"/>
    </row>
    <row r="805" spans="2:2" x14ac:dyDescent="0.25">
      <c r="B805"/>
    </row>
    <row r="806" spans="2:2" x14ac:dyDescent="0.25">
      <c r="B806"/>
    </row>
    <row r="807" spans="2:2" x14ac:dyDescent="0.25">
      <c r="B807"/>
    </row>
    <row r="808" spans="2:2" x14ac:dyDescent="0.25">
      <c r="B808"/>
    </row>
    <row r="809" spans="2:2" x14ac:dyDescent="0.25">
      <c r="B809"/>
    </row>
    <row r="810" spans="2:2" x14ac:dyDescent="0.25">
      <c r="B810"/>
    </row>
    <row r="811" spans="2:2" x14ac:dyDescent="0.25">
      <c r="B811"/>
    </row>
    <row r="812" spans="2:2" x14ac:dyDescent="0.25">
      <c r="B812"/>
    </row>
    <row r="813" spans="2:2" x14ac:dyDescent="0.25">
      <c r="B813"/>
    </row>
    <row r="814" spans="2:2" x14ac:dyDescent="0.25">
      <c r="B814"/>
    </row>
    <row r="815" spans="2:2" x14ac:dyDescent="0.25">
      <c r="B815"/>
    </row>
    <row r="816" spans="2:2" x14ac:dyDescent="0.25">
      <c r="B816"/>
    </row>
    <row r="817" spans="2:2" x14ac:dyDescent="0.25">
      <c r="B817"/>
    </row>
    <row r="818" spans="2:2" x14ac:dyDescent="0.25">
      <c r="B818"/>
    </row>
    <row r="819" spans="2:2" x14ac:dyDescent="0.25">
      <c r="B819"/>
    </row>
    <row r="820" spans="2:2" x14ac:dyDescent="0.25">
      <c r="B820"/>
    </row>
    <row r="821" spans="2:2" x14ac:dyDescent="0.25">
      <c r="B821"/>
    </row>
    <row r="822" spans="2:2" x14ac:dyDescent="0.25">
      <c r="B822"/>
    </row>
    <row r="823" spans="2:2" x14ac:dyDescent="0.25">
      <c r="B823"/>
    </row>
    <row r="824" spans="2:2" x14ac:dyDescent="0.25">
      <c r="B824"/>
    </row>
    <row r="825" spans="2:2" x14ac:dyDescent="0.25">
      <c r="B825"/>
    </row>
    <row r="826" spans="2:2" x14ac:dyDescent="0.25">
      <c r="B826"/>
    </row>
    <row r="827" spans="2:2" x14ac:dyDescent="0.25">
      <c r="B827"/>
    </row>
    <row r="828" spans="2:2" x14ac:dyDescent="0.25">
      <c r="B828"/>
    </row>
    <row r="829" spans="2:2" x14ac:dyDescent="0.25">
      <c r="B829"/>
    </row>
    <row r="830" spans="2:2" x14ac:dyDescent="0.25">
      <c r="B830"/>
    </row>
    <row r="831" spans="2:2" x14ac:dyDescent="0.25">
      <c r="B831"/>
    </row>
    <row r="832" spans="2:2" x14ac:dyDescent="0.25">
      <c r="B832"/>
    </row>
    <row r="833" spans="2:2" x14ac:dyDescent="0.25">
      <c r="B833"/>
    </row>
    <row r="834" spans="2:2" x14ac:dyDescent="0.25">
      <c r="B834"/>
    </row>
    <row r="835" spans="2:2" x14ac:dyDescent="0.25">
      <c r="B835"/>
    </row>
    <row r="836" spans="2:2" x14ac:dyDescent="0.25">
      <c r="B836"/>
    </row>
    <row r="837" spans="2:2" x14ac:dyDescent="0.25">
      <c r="B837"/>
    </row>
    <row r="838" spans="2:2" x14ac:dyDescent="0.25">
      <c r="B838"/>
    </row>
    <row r="839" spans="2:2" x14ac:dyDescent="0.25">
      <c r="B839"/>
    </row>
    <row r="840" spans="2:2" x14ac:dyDescent="0.25">
      <c r="B840"/>
    </row>
    <row r="841" spans="2:2" x14ac:dyDescent="0.25">
      <c r="B841"/>
    </row>
    <row r="842" spans="2:2" x14ac:dyDescent="0.25">
      <c r="B842"/>
    </row>
    <row r="843" spans="2:2" x14ac:dyDescent="0.25">
      <c r="B843"/>
    </row>
    <row r="844" spans="2:2" x14ac:dyDescent="0.25">
      <c r="B844"/>
    </row>
    <row r="845" spans="2:2" x14ac:dyDescent="0.25">
      <c r="B845"/>
    </row>
    <row r="846" spans="2:2" x14ac:dyDescent="0.25">
      <c r="B846"/>
    </row>
    <row r="847" spans="2:2" x14ac:dyDescent="0.25">
      <c r="B847"/>
    </row>
    <row r="848" spans="2:2" x14ac:dyDescent="0.25">
      <c r="B848"/>
    </row>
    <row r="849" spans="2:2" x14ac:dyDescent="0.25">
      <c r="B849"/>
    </row>
    <row r="850" spans="2:2" x14ac:dyDescent="0.25">
      <c r="B850"/>
    </row>
    <row r="851" spans="2:2" x14ac:dyDescent="0.25">
      <c r="B851"/>
    </row>
    <row r="852" spans="2:2" x14ac:dyDescent="0.25">
      <c r="B852"/>
    </row>
    <row r="853" spans="2:2" x14ac:dyDescent="0.25">
      <c r="B853"/>
    </row>
    <row r="854" spans="2:2" x14ac:dyDescent="0.25">
      <c r="B854"/>
    </row>
    <row r="855" spans="2:2" x14ac:dyDescent="0.25">
      <c r="B855"/>
    </row>
    <row r="856" spans="2:2" x14ac:dyDescent="0.25">
      <c r="B856"/>
    </row>
    <row r="857" spans="2:2" x14ac:dyDescent="0.25">
      <c r="B857"/>
    </row>
    <row r="858" spans="2:2" x14ac:dyDescent="0.25">
      <c r="B858"/>
    </row>
    <row r="859" spans="2:2" x14ac:dyDescent="0.25">
      <c r="B859"/>
    </row>
    <row r="860" spans="2:2" x14ac:dyDescent="0.25">
      <c r="B860"/>
    </row>
    <row r="861" spans="2:2" x14ac:dyDescent="0.25">
      <c r="B861"/>
    </row>
    <row r="862" spans="2:2" x14ac:dyDescent="0.25">
      <c r="B862"/>
    </row>
    <row r="863" spans="2:2" x14ac:dyDescent="0.25">
      <c r="B863"/>
    </row>
    <row r="864" spans="2:2" x14ac:dyDescent="0.25">
      <c r="B864"/>
    </row>
    <row r="865" spans="2:2" x14ac:dyDescent="0.25">
      <c r="B865"/>
    </row>
    <row r="866" spans="2:2" x14ac:dyDescent="0.25">
      <c r="B866"/>
    </row>
    <row r="867" spans="2:2" x14ac:dyDescent="0.25">
      <c r="B867"/>
    </row>
    <row r="868" spans="2:2" x14ac:dyDescent="0.25">
      <c r="B868"/>
    </row>
    <row r="869" spans="2:2" x14ac:dyDescent="0.25">
      <c r="B869"/>
    </row>
    <row r="870" spans="2:2" x14ac:dyDescent="0.25">
      <c r="B870"/>
    </row>
    <row r="871" spans="2:2" x14ac:dyDescent="0.25">
      <c r="B871"/>
    </row>
    <row r="872" spans="2:2" x14ac:dyDescent="0.25">
      <c r="B872"/>
    </row>
    <row r="873" spans="2:2" x14ac:dyDescent="0.25">
      <c r="B873"/>
    </row>
    <row r="874" spans="2:2" x14ac:dyDescent="0.25">
      <c r="B874"/>
    </row>
    <row r="875" spans="2:2" x14ac:dyDescent="0.25">
      <c r="B875"/>
    </row>
    <row r="876" spans="2:2" x14ac:dyDescent="0.25">
      <c r="B876"/>
    </row>
    <row r="877" spans="2:2" x14ac:dyDescent="0.25">
      <c r="B877"/>
    </row>
    <row r="878" spans="2:2" x14ac:dyDescent="0.25">
      <c r="B878"/>
    </row>
    <row r="879" spans="2:2" x14ac:dyDescent="0.25">
      <c r="B879"/>
    </row>
    <row r="880" spans="2:2" x14ac:dyDescent="0.25">
      <c r="B880"/>
    </row>
    <row r="881" spans="2:2" x14ac:dyDescent="0.25">
      <c r="B881"/>
    </row>
    <row r="882" spans="2:2" x14ac:dyDescent="0.25">
      <c r="B882"/>
    </row>
    <row r="883" spans="2:2" x14ac:dyDescent="0.25">
      <c r="B883"/>
    </row>
    <row r="884" spans="2:2" x14ac:dyDescent="0.25">
      <c r="B884"/>
    </row>
    <row r="885" spans="2:2" x14ac:dyDescent="0.25">
      <c r="B885"/>
    </row>
    <row r="886" spans="2:2" x14ac:dyDescent="0.25">
      <c r="B886"/>
    </row>
    <row r="887" spans="2:2" x14ac:dyDescent="0.25">
      <c r="B887"/>
    </row>
    <row r="888" spans="2:2" x14ac:dyDescent="0.25">
      <c r="B888"/>
    </row>
    <row r="889" spans="2:2" x14ac:dyDescent="0.25">
      <c r="B889"/>
    </row>
    <row r="890" spans="2:2" x14ac:dyDescent="0.25">
      <c r="B890"/>
    </row>
    <row r="891" spans="2:2" x14ac:dyDescent="0.25">
      <c r="B891"/>
    </row>
    <row r="892" spans="2:2" x14ac:dyDescent="0.25">
      <c r="B892"/>
    </row>
    <row r="893" spans="2:2" x14ac:dyDescent="0.25">
      <c r="B893"/>
    </row>
    <row r="894" spans="2:2" x14ac:dyDescent="0.25">
      <c r="B894"/>
    </row>
    <row r="895" spans="2:2" x14ac:dyDescent="0.25">
      <c r="B895"/>
    </row>
    <row r="896" spans="2:2" x14ac:dyDescent="0.25">
      <c r="B896"/>
    </row>
    <row r="897" spans="2:2" x14ac:dyDescent="0.25">
      <c r="B897"/>
    </row>
    <row r="898" spans="2:2" x14ac:dyDescent="0.25">
      <c r="B898"/>
    </row>
    <row r="899" spans="2:2" x14ac:dyDescent="0.25">
      <c r="B899"/>
    </row>
    <row r="900" spans="2:2" x14ac:dyDescent="0.25">
      <c r="B900"/>
    </row>
    <row r="901" spans="2:2" x14ac:dyDescent="0.25">
      <c r="B901"/>
    </row>
    <row r="902" spans="2:2" x14ac:dyDescent="0.25">
      <c r="B902"/>
    </row>
    <row r="903" spans="2:2" x14ac:dyDescent="0.25">
      <c r="B903"/>
    </row>
    <row r="904" spans="2:2" x14ac:dyDescent="0.25">
      <c r="B904"/>
    </row>
    <row r="905" spans="2:2" x14ac:dyDescent="0.25">
      <c r="B905"/>
    </row>
    <row r="906" spans="2:2" x14ac:dyDescent="0.25">
      <c r="B906"/>
    </row>
    <row r="907" spans="2:2" x14ac:dyDescent="0.25">
      <c r="B907"/>
    </row>
    <row r="908" spans="2:2" x14ac:dyDescent="0.25">
      <c r="B908"/>
    </row>
    <row r="909" spans="2:2" x14ac:dyDescent="0.25">
      <c r="B909"/>
    </row>
    <row r="910" spans="2:2" x14ac:dyDescent="0.25">
      <c r="B910"/>
    </row>
    <row r="911" spans="2:2" x14ac:dyDescent="0.25">
      <c r="B911"/>
    </row>
    <row r="912" spans="2:2" x14ac:dyDescent="0.25">
      <c r="B912"/>
    </row>
    <row r="913" spans="2:2" x14ac:dyDescent="0.25">
      <c r="B913"/>
    </row>
    <row r="914" spans="2:2" x14ac:dyDescent="0.25">
      <c r="B914"/>
    </row>
    <row r="915" spans="2:2" x14ac:dyDescent="0.25">
      <c r="B915"/>
    </row>
    <row r="916" spans="2:2" x14ac:dyDescent="0.25">
      <c r="B916"/>
    </row>
    <row r="917" spans="2:2" x14ac:dyDescent="0.25">
      <c r="B917"/>
    </row>
    <row r="918" spans="2:2" x14ac:dyDescent="0.25">
      <c r="B918"/>
    </row>
    <row r="919" spans="2:2" x14ac:dyDescent="0.25">
      <c r="B919"/>
    </row>
    <row r="920" spans="2:2" x14ac:dyDescent="0.25">
      <c r="B920"/>
    </row>
    <row r="921" spans="2:2" x14ac:dyDescent="0.25">
      <c r="B921"/>
    </row>
    <row r="922" spans="2:2" x14ac:dyDescent="0.25">
      <c r="B922"/>
    </row>
    <row r="923" spans="2:2" x14ac:dyDescent="0.25">
      <c r="B923"/>
    </row>
    <row r="924" spans="2:2" x14ac:dyDescent="0.25">
      <c r="B924"/>
    </row>
    <row r="925" spans="2:2" x14ac:dyDescent="0.25">
      <c r="B925"/>
    </row>
    <row r="926" spans="2:2" x14ac:dyDescent="0.25">
      <c r="B926"/>
    </row>
    <row r="927" spans="2:2" x14ac:dyDescent="0.25">
      <c r="B927"/>
    </row>
    <row r="928" spans="2:2" x14ac:dyDescent="0.25">
      <c r="B928"/>
    </row>
    <row r="929" spans="2:2" x14ac:dyDescent="0.25">
      <c r="B929"/>
    </row>
    <row r="930" spans="2:2" x14ac:dyDescent="0.25">
      <c r="B930"/>
    </row>
    <row r="931" spans="2:2" x14ac:dyDescent="0.25">
      <c r="B931"/>
    </row>
    <row r="932" spans="2:2" x14ac:dyDescent="0.25">
      <c r="B932"/>
    </row>
    <row r="933" spans="2:2" x14ac:dyDescent="0.25">
      <c r="B933"/>
    </row>
    <row r="934" spans="2:2" x14ac:dyDescent="0.25">
      <c r="B934"/>
    </row>
    <row r="935" spans="2:2" x14ac:dyDescent="0.25">
      <c r="B935"/>
    </row>
    <row r="936" spans="2:2" x14ac:dyDescent="0.25">
      <c r="B936"/>
    </row>
    <row r="937" spans="2:2" x14ac:dyDescent="0.25">
      <c r="B937"/>
    </row>
    <row r="938" spans="2:2" x14ac:dyDescent="0.25">
      <c r="B938"/>
    </row>
    <row r="939" spans="2:2" x14ac:dyDescent="0.25">
      <c r="B939"/>
    </row>
    <row r="940" spans="2:2" x14ac:dyDescent="0.25">
      <c r="B940"/>
    </row>
    <row r="941" spans="2:2" x14ac:dyDescent="0.25">
      <c r="B941"/>
    </row>
    <row r="942" spans="2:2" x14ac:dyDescent="0.25">
      <c r="B942"/>
    </row>
    <row r="943" spans="2:2" x14ac:dyDescent="0.25">
      <c r="B943"/>
    </row>
    <row r="944" spans="2:2" x14ac:dyDescent="0.25">
      <c r="B944"/>
    </row>
    <row r="945" spans="2:2" x14ac:dyDescent="0.25">
      <c r="B945"/>
    </row>
    <row r="946" spans="2:2" x14ac:dyDescent="0.25">
      <c r="B946"/>
    </row>
    <row r="947" spans="2:2" x14ac:dyDescent="0.25">
      <c r="B947"/>
    </row>
    <row r="948" spans="2:2" x14ac:dyDescent="0.25">
      <c r="B948"/>
    </row>
    <row r="949" spans="2:2" x14ac:dyDescent="0.25">
      <c r="B949"/>
    </row>
    <row r="950" spans="2:2" x14ac:dyDescent="0.25">
      <c r="B950"/>
    </row>
    <row r="951" spans="2:2" x14ac:dyDescent="0.25">
      <c r="B951"/>
    </row>
    <row r="952" spans="2:2" x14ac:dyDescent="0.25">
      <c r="B952"/>
    </row>
    <row r="953" spans="2:2" x14ac:dyDescent="0.25">
      <c r="B953"/>
    </row>
    <row r="954" spans="2:2" x14ac:dyDescent="0.25">
      <c r="B954"/>
    </row>
    <row r="955" spans="2:2" x14ac:dyDescent="0.25">
      <c r="B955"/>
    </row>
    <row r="956" spans="2:2" x14ac:dyDescent="0.25">
      <c r="B956"/>
    </row>
    <row r="957" spans="2:2" x14ac:dyDescent="0.25">
      <c r="B957"/>
    </row>
    <row r="958" spans="2:2" x14ac:dyDescent="0.25">
      <c r="B958"/>
    </row>
    <row r="959" spans="2:2" x14ac:dyDescent="0.25">
      <c r="B959"/>
    </row>
    <row r="960" spans="2:2" x14ac:dyDescent="0.25">
      <c r="B960"/>
    </row>
    <row r="961" spans="2:2" x14ac:dyDescent="0.25">
      <c r="B961"/>
    </row>
    <row r="962" spans="2:2" x14ac:dyDescent="0.25">
      <c r="B962"/>
    </row>
    <row r="963" spans="2:2" x14ac:dyDescent="0.25">
      <c r="B963"/>
    </row>
    <row r="964" spans="2:2" x14ac:dyDescent="0.25">
      <c r="B964"/>
    </row>
    <row r="965" spans="2:2" x14ac:dyDescent="0.25">
      <c r="B965"/>
    </row>
    <row r="966" spans="2:2" x14ac:dyDescent="0.25">
      <c r="B966"/>
    </row>
    <row r="967" spans="2:2" x14ac:dyDescent="0.25">
      <c r="B967"/>
    </row>
    <row r="968" spans="2:2" x14ac:dyDescent="0.25">
      <c r="B968"/>
    </row>
    <row r="969" spans="2:2" x14ac:dyDescent="0.25">
      <c r="B969"/>
    </row>
    <row r="970" spans="2:2" x14ac:dyDescent="0.25">
      <c r="B970"/>
    </row>
    <row r="971" spans="2:2" x14ac:dyDescent="0.25">
      <c r="B971"/>
    </row>
    <row r="972" spans="2:2" x14ac:dyDescent="0.25">
      <c r="B972"/>
    </row>
    <row r="973" spans="2:2" x14ac:dyDescent="0.25">
      <c r="B973"/>
    </row>
    <row r="974" spans="2:2" x14ac:dyDescent="0.25">
      <c r="B974"/>
    </row>
    <row r="975" spans="2:2" x14ac:dyDescent="0.25">
      <c r="B975"/>
    </row>
    <row r="976" spans="2:2" x14ac:dyDescent="0.25">
      <c r="B976"/>
    </row>
    <row r="977" spans="2:2" x14ac:dyDescent="0.25">
      <c r="B977"/>
    </row>
    <row r="978" spans="2:2" x14ac:dyDescent="0.25">
      <c r="B978"/>
    </row>
    <row r="979" spans="2:2" x14ac:dyDescent="0.25">
      <c r="B979"/>
    </row>
    <row r="980" spans="2:2" x14ac:dyDescent="0.25">
      <c r="B980"/>
    </row>
    <row r="981" spans="2:2" x14ac:dyDescent="0.25">
      <c r="B981"/>
    </row>
    <row r="982" spans="2:2" x14ac:dyDescent="0.25">
      <c r="B982"/>
    </row>
    <row r="983" spans="2:2" x14ac:dyDescent="0.25">
      <c r="B983"/>
    </row>
    <row r="984" spans="2:2" x14ac:dyDescent="0.25">
      <c r="B984"/>
    </row>
    <row r="985" spans="2:2" x14ac:dyDescent="0.25">
      <c r="B985"/>
    </row>
    <row r="986" spans="2:2" x14ac:dyDescent="0.25">
      <c r="B986"/>
    </row>
    <row r="987" spans="2:2" x14ac:dyDescent="0.25">
      <c r="B987"/>
    </row>
    <row r="988" spans="2:2" x14ac:dyDescent="0.25">
      <c r="B988"/>
    </row>
    <row r="989" spans="2:2" x14ac:dyDescent="0.25">
      <c r="B989"/>
    </row>
    <row r="990" spans="2:2" x14ac:dyDescent="0.25">
      <c r="B990"/>
    </row>
    <row r="991" spans="2:2" x14ac:dyDescent="0.25">
      <c r="B991"/>
    </row>
    <row r="992" spans="2:2" x14ac:dyDescent="0.25">
      <c r="B992"/>
    </row>
    <row r="993" spans="2:2" x14ac:dyDescent="0.25">
      <c r="B993"/>
    </row>
    <row r="994" spans="2:2" x14ac:dyDescent="0.25">
      <c r="B994"/>
    </row>
    <row r="995" spans="2:2" x14ac:dyDescent="0.25">
      <c r="B995"/>
    </row>
    <row r="996" spans="2:2" x14ac:dyDescent="0.25">
      <c r="B996"/>
    </row>
    <row r="997" spans="2:2" x14ac:dyDescent="0.25">
      <c r="B997"/>
    </row>
    <row r="998" spans="2:2" x14ac:dyDescent="0.25">
      <c r="B998"/>
    </row>
    <row r="999" spans="2:2" x14ac:dyDescent="0.25">
      <c r="B999"/>
    </row>
    <row r="1000" spans="2:2" x14ac:dyDescent="0.25">
      <c r="B1000"/>
    </row>
    <row r="1001" spans="2:2" x14ac:dyDescent="0.25">
      <c r="B1001"/>
    </row>
    <row r="1002" spans="2:2" x14ac:dyDescent="0.25">
      <c r="B1002"/>
    </row>
    <row r="1003" spans="2:2" x14ac:dyDescent="0.25">
      <c r="B1003"/>
    </row>
    <row r="1004" spans="2:2" x14ac:dyDescent="0.25">
      <c r="B1004"/>
    </row>
    <row r="1005" spans="2:2" x14ac:dyDescent="0.25">
      <c r="B1005"/>
    </row>
    <row r="1006" spans="2:2" x14ac:dyDescent="0.25">
      <c r="B1006"/>
    </row>
    <row r="1007" spans="2:2" x14ac:dyDescent="0.25">
      <c r="B1007"/>
    </row>
    <row r="1008" spans="2:2" x14ac:dyDescent="0.25">
      <c r="B1008"/>
    </row>
    <row r="1009" spans="2:2" x14ac:dyDescent="0.25">
      <c r="B1009"/>
    </row>
    <row r="1010" spans="2:2" x14ac:dyDescent="0.25">
      <c r="B1010"/>
    </row>
    <row r="1011" spans="2:2" x14ac:dyDescent="0.25">
      <c r="B1011"/>
    </row>
    <row r="1012" spans="2:2" x14ac:dyDescent="0.25">
      <c r="B1012"/>
    </row>
    <row r="1013" spans="2:2" x14ac:dyDescent="0.25">
      <c r="B1013"/>
    </row>
    <row r="1014" spans="2:2" x14ac:dyDescent="0.25">
      <c r="B1014"/>
    </row>
    <row r="1015" spans="2:2" x14ac:dyDescent="0.25">
      <c r="B1015"/>
    </row>
    <row r="1016" spans="2:2" x14ac:dyDescent="0.25">
      <c r="B1016"/>
    </row>
    <row r="1017" spans="2:2" x14ac:dyDescent="0.25">
      <c r="B1017"/>
    </row>
    <row r="1018" spans="2:2" x14ac:dyDescent="0.25">
      <c r="B1018"/>
    </row>
    <row r="1019" spans="2:2" x14ac:dyDescent="0.25">
      <c r="B1019"/>
    </row>
    <row r="1020" spans="2:2" x14ac:dyDescent="0.25">
      <c r="B1020"/>
    </row>
    <row r="1021" spans="2:2" x14ac:dyDescent="0.25">
      <c r="B1021"/>
    </row>
    <row r="1022" spans="2:2" x14ac:dyDescent="0.25">
      <c r="B1022"/>
    </row>
    <row r="1023" spans="2:2" x14ac:dyDescent="0.25">
      <c r="B1023"/>
    </row>
    <row r="1024" spans="2:2" x14ac:dyDescent="0.25">
      <c r="B1024"/>
    </row>
    <row r="1025" spans="2:2" x14ac:dyDescent="0.25">
      <c r="B1025"/>
    </row>
    <row r="1026" spans="2:2" x14ac:dyDescent="0.25">
      <c r="B1026"/>
    </row>
    <row r="1027" spans="2:2" x14ac:dyDescent="0.25">
      <c r="B1027"/>
    </row>
    <row r="1028" spans="2:2" x14ac:dyDescent="0.25">
      <c r="B1028"/>
    </row>
    <row r="1029" spans="2:2" x14ac:dyDescent="0.25">
      <c r="B1029"/>
    </row>
    <row r="1030" spans="2:2" x14ac:dyDescent="0.25">
      <c r="B1030"/>
    </row>
    <row r="1031" spans="2:2" x14ac:dyDescent="0.25">
      <c r="B1031"/>
    </row>
    <row r="1032" spans="2:2" x14ac:dyDescent="0.25">
      <c r="B1032"/>
    </row>
    <row r="1033" spans="2:2" x14ac:dyDescent="0.25">
      <c r="B1033"/>
    </row>
    <row r="1034" spans="2:2" x14ac:dyDescent="0.25">
      <c r="B1034"/>
    </row>
    <row r="1035" spans="2:2" x14ac:dyDescent="0.25">
      <c r="B1035"/>
    </row>
    <row r="1036" spans="2:2" x14ac:dyDescent="0.25">
      <c r="B1036"/>
    </row>
    <row r="1037" spans="2:2" x14ac:dyDescent="0.25">
      <c r="B1037"/>
    </row>
    <row r="1038" spans="2:2" x14ac:dyDescent="0.25">
      <c r="B1038"/>
    </row>
    <row r="1039" spans="2:2" x14ac:dyDescent="0.25">
      <c r="B1039"/>
    </row>
    <row r="1040" spans="2:2" x14ac:dyDescent="0.25">
      <c r="B1040"/>
    </row>
    <row r="1041" spans="2:2" x14ac:dyDescent="0.25">
      <c r="B1041"/>
    </row>
    <row r="1042" spans="2:2" x14ac:dyDescent="0.25">
      <c r="B1042"/>
    </row>
    <row r="1043" spans="2:2" x14ac:dyDescent="0.25">
      <c r="B1043"/>
    </row>
    <row r="1044" spans="2:2" x14ac:dyDescent="0.25">
      <c r="B1044"/>
    </row>
    <row r="1045" spans="2:2" x14ac:dyDescent="0.25">
      <c r="B1045"/>
    </row>
    <row r="1046" spans="2:2" x14ac:dyDescent="0.25">
      <c r="B1046"/>
    </row>
    <row r="1047" spans="2:2" x14ac:dyDescent="0.25">
      <c r="B1047"/>
    </row>
    <row r="1048" spans="2:2" x14ac:dyDescent="0.25">
      <c r="B1048"/>
    </row>
    <row r="1049" spans="2:2" x14ac:dyDescent="0.25">
      <c r="B1049"/>
    </row>
    <row r="1050" spans="2:2" x14ac:dyDescent="0.25">
      <c r="B1050"/>
    </row>
    <row r="1051" spans="2:2" x14ac:dyDescent="0.25">
      <c r="B1051"/>
    </row>
    <row r="1052" spans="2:2" x14ac:dyDescent="0.25">
      <c r="B1052"/>
    </row>
    <row r="1053" spans="2:2" x14ac:dyDescent="0.25">
      <c r="B1053"/>
    </row>
    <row r="1054" spans="2:2" x14ac:dyDescent="0.25">
      <c r="B1054"/>
    </row>
    <row r="1055" spans="2:2" x14ac:dyDescent="0.25">
      <c r="B1055"/>
    </row>
    <row r="1056" spans="2:2" x14ac:dyDescent="0.25">
      <c r="B1056"/>
    </row>
    <row r="1057" spans="2:2" x14ac:dyDescent="0.25">
      <c r="B1057"/>
    </row>
    <row r="1058" spans="2:2" x14ac:dyDescent="0.25">
      <c r="B1058"/>
    </row>
    <row r="1059" spans="2:2" x14ac:dyDescent="0.25">
      <c r="B1059"/>
    </row>
    <row r="1060" spans="2:2" x14ac:dyDescent="0.25">
      <c r="B1060"/>
    </row>
    <row r="1061" spans="2:2" x14ac:dyDescent="0.25">
      <c r="B1061"/>
    </row>
    <row r="1062" spans="2:2" x14ac:dyDescent="0.25">
      <c r="B1062"/>
    </row>
    <row r="1063" spans="2:2" x14ac:dyDescent="0.25">
      <c r="B1063"/>
    </row>
    <row r="1064" spans="2:2" x14ac:dyDescent="0.25">
      <c r="B1064"/>
    </row>
    <row r="1065" spans="2:2" x14ac:dyDescent="0.25">
      <c r="B1065"/>
    </row>
    <row r="1066" spans="2:2" x14ac:dyDescent="0.25">
      <c r="B1066"/>
    </row>
    <row r="1067" spans="2:2" x14ac:dyDescent="0.25">
      <c r="B1067"/>
    </row>
    <row r="1068" spans="2:2" x14ac:dyDescent="0.25">
      <c r="B1068"/>
    </row>
    <row r="1069" spans="2:2" x14ac:dyDescent="0.25">
      <c r="B1069"/>
    </row>
    <row r="1070" spans="2:2" x14ac:dyDescent="0.25">
      <c r="B1070"/>
    </row>
    <row r="1071" spans="2:2" x14ac:dyDescent="0.25">
      <c r="B1071"/>
    </row>
    <row r="1072" spans="2:2" x14ac:dyDescent="0.25">
      <c r="B1072"/>
    </row>
    <row r="1073" spans="2:2" x14ac:dyDescent="0.25">
      <c r="B1073"/>
    </row>
    <row r="1074" spans="2:2" x14ac:dyDescent="0.25">
      <c r="B1074"/>
    </row>
    <row r="1075" spans="2:2" x14ac:dyDescent="0.25">
      <c r="B1075"/>
    </row>
    <row r="1076" spans="2:2" x14ac:dyDescent="0.25">
      <c r="B1076"/>
    </row>
    <row r="1077" spans="2:2" x14ac:dyDescent="0.25">
      <c r="B1077"/>
    </row>
    <row r="1078" spans="2:2" x14ac:dyDescent="0.25">
      <c r="B1078"/>
    </row>
    <row r="1079" spans="2:2" x14ac:dyDescent="0.25">
      <c r="B1079"/>
    </row>
    <row r="1080" spans="2:2" x14ac:dyDescent="0.25">
      <c r="B1080"/>
    </row>
    <row r="1081" spans="2:2" x14ac:dyDescent="0.25">
      <c r="B1081"/>
    </row>
    <row r="1082" spans="2:2" x14ac:dyDescent="0.25">
      <c r="B1082"/>
    </row>
    <row r="1083" spans="2:2" x14ac:dyDescent="0.25">
      <c r="B1083"/>
    </row>
    <row r="1084" spans="2:2" x14ac:dyDescent="0.25">
      <c r="B1084"/>
    </row>
    <row r="1085" spans="2:2" x14ac:dyDescent="0.25">
      <c r="B1085"/>
    </row>
    <row r="1086" spans="2:2" x14ac:dyDescent="0.25">
      <c r="B1086"/>
    </row>
    <row r="1087" spans="2:2" x14ac:dyDescent="0.25">
      <c r="B1087"/>
    </row>
    <row r="1088" spans="2:2" x14ac:dyDescent="0.25">
      <c r="B1088"/>
    </row>
    <row r="1089" spans="2:2" x14ac:dyDescent="0.25">
      <c r="B1089"/>
    </row>
    <row r="1090" spans="2:2" x14ac:dyDescent="0.25">
      <c r="B1090"/>
    </row>
    <row r="1091" spans="2:2" x14ac:dyDescent="0.25">
      <c r="B1091"/>
    </row>
    <row r="1092" spans="2:2" x14ac:dyDescent="0.25">
      <c r="B1092"/>
    </row>
    <row r="1093" spans="2:2" x14ac:dyDescent="0.25">
      <c r="B1093"/>
    </row>
    <row r="1094" spans="2:2" x14ac:dyDescent="0.25">
      <c r="B1094"/>
    </row>
    <row r="1095" spans="2:2" x14ac:dyDescent="0.25">
      <c r="B1095"/>
    </row>
    <row r="1096" spans="2:2" x14ac:dyDescent="0.25">
      <c r="B1096"/>
    </row>
    <row r="1097" spans="2:2" x14ac:dyDescent="0.25">
      <c r="B1097"/>
    </row>
    <row r="1098" spans="2:2" x14ac:dyDescent="0.25">
      <c r="B1098"/>
    </row>
    <row r="1099" spans="2:2" x14ac:dyDescent="0.25">
      <c r="B1099"/>
    </row>
    <row r="1100" spans="2:2" x14ac:dyDescent="0.25">
      <c r="B1100"/>
    </row>
    <row r="1101" spans="2:2" x14ac:dyDescent="0.25">
      <c r="B1101"/>
    </row>
    <row r="1102" spans="2:2" x14ac:dyDescent="0.25">
      <c r="B1102"/>
    </row>
    <row r="1103" spans="2:2" x14ac:dyDescent="0.25">
      <c r="B1103"/>
    </row>
    <row r="1104" spans="2:2" x14ac:dyDescent="0.25">
      <c r="B1104"/>
    </row>
    <row r="1105" spans="2:2" x14ac:dyDescent="0.25">
      <c r="B1105"/>
    </row>
    <row r="1106" spans="2:2" x14ac:dyDescent="0.25">
      <c r="B1106"/>
    </row>
    <row r="1107" spans="2:2" x14ac:dyDescent="0.25">
      <c r="B1107"/>
    </row>
    <row r="1108" spans="2:2" x14ac:dyDescent="0.25">
      <c r="B1108"/>
    </row>
    <row r="1109" spans="2:2" x14ac:dyDescent="0.25">
      <c r="B1109"/>
    </row>
    <row r="1110" spans="2:2" x14ac:dyDescent="0.25">
      <c r="B1110"/>
    </row>
    <row r="1111" spans="2:2" x14ac:dyDescent="0.25">
      <c r="B1111"/>
    </row>
    <row r="1112" spans="2:2" x14ac:dyDescent="0.25">
      <c r="B1112"/>
    </row>
    <row r="1113" spans="2:2" x14ac:dyDescent="0.25">
      <c r="B1113"/>
    </row>
    <row r="1114" spans="2:2" x14ac:dyDescent="0.25">
      <c r="B1114"/>
    </row>
    <row r="1115" spans="2:2" x14ac:dyDescent="0.25">
      <c r="B1115"/>
    </row>
    <row r="1116" spans="2:2" x14ac:dyDescent="0.25">
      <c r="B1116"/>
    </row>
    <row r="1117" spans="2:2" x14ac:dyDescent="0.25">
      <c r="B1117"/>
    </row>
    <row r="1118" spans="2:2" x14ac:dyDescent="0.25">
      <c r="B1118"/>
    </row>
    <row r="1119" spans="2:2" x14ac:dyDescent="0.25">
      <c r="B1119"/>
    </row>
    <row r="1120" spans="2:2" x14ac:dyDescent="0.25">
      <c r="B1120"/>
    </row>
    <row r="1121" spans="2:2" x14ac:dyDescent="0.25">
      <c r="B1121"/>
    </row>
    <row r="1122" spans="2:2" x14ac:dyDescent="0.25">
      <c r="B1122"/>
    </row>
    <row r="1123" spans="2:2" x14ac:dyDescent="0.25">
      <c r="B1123"/>
    </row>
    <row r="1124" spans="2:2" x14ac:dyDescent="0.25">
      <c r="B1124"/>
    </row>
    <row r="1125" spans="2:2" x14ac:dyDescent="0.25">
      <c r="B1125"/>
    </row>
    <row r="1126" spans="2:2" x14ac:dyDescent="0.25">
      <c r="B1126"/>
    </row>
    <row r="1127" spans="2:2" x14ac:dyDescent="0.25">
      <c r="B1127"/>
    </row>
    <row r="1128" spans="2:2" x14ac:dyDescent="0.25">
      <c r="B1128"/>
    </row>
    <row r="1129" spans="2:2" x14ac:dyDescent="0.25">
      <c r="B1129"/>
    </row>
    <row r="1130" spans="2:2" x14ac:dyDescent="0.25">
      <c r="B1130"/>
    </row>
    <row r="1131" spans="2:2" x14ac:dyDescent="0.25">
      <c r="B1131"/>
    </row>
    <row r="1132" spans="2:2" x14ac:dyDescent="0.25">
      <c r="B1132"/>
    </row>
    <row r="1133" spans="2:2" x14ac:dyDescent="0.25">
      <c r="B1133"/>
    </row>
    <row r="1134" spans="2:2" x14ac:dyDescent="0.25">
      <c r="B1134"/>
    </row>
    <row r="1135" spans="2:2" x14ac:dyDescent="0.25">
      <c r="B1135"/>
    </row>
    <row r="1136" spans="2:2" x14ac:dyDescent="0.25">
      <c r="B1136"/>
    </row>
    <row r="1137" spans="2:2" x14ac:dyDescent="0.25">
      <c r="B1137"/>
    </row>
    <row r="1138" spans="2:2" x14ac:dyDescent="0.25">
      <c r="B1138"/>
    </row>
    <row r="1139" spans="2:2" x14ac:dyDescent="0.25">
      <c r="B1139"/>
    </row>
    <row r="1140" spans="2:2" x14ac:dyDescent="0.25">
      <c r="B1140"/>
    </row>
    <row r="1141" spans="2:2" x14ac:dyDescent="0.25">
      <c r="B1141"/>
    </row>
    <row r="1142" spans="2:2" x14ac:dyDescent="0.25">
      <c r="B1142"/>
    </row>
    <row r="1143" spans="2:2" x14ac:dyDescent="0.25">
      <c r="B1143"/>
    </row>
    <row r="1144" spans="2:2" x14ac:dyDescent="0.25">
      <c r="B1144"/>
    </row>
    <row r="1145" spans="2:2" x14ac:dyDescent="0.25">
      <c r="B1145"/>
    </row>
    <row r="1146" spans="2:2" x14ac:dyDescent="0.25">
      <c r="B1146"/>
    </row>
    <row r="1147" spans="2:2" x14ac:dyDescent="0.25">
      <c r="B1147"/>
    </row>
    <row r="1148" spans="2:2" x14ac:dyDescent="0.25">
      <c r="B1148"/>
    </row>
    <row r="1149" spans="2:2" x14ac:dyDescent="0.25">
      <c r="B1149"/>
    </row>
    <row r="1150" spans="2:2" x14ac:dyDescent="0.25">
      <c r="B1150"/>
    </row>
    <row r="1151" spans="2:2" x14ac:dyDescent="0.25">
      <c r="B1151"/>
    </row>
    <row r="1152" spans="2:2" x14ac:dyDescent="0.25">
      <c r="B1152"/>
    </row>
    <row r="1153" spans="2:2" x14ac:dyDescent="0.25">
      <c r="B1153"/>
    </row>
    <row r="1154" spans="2:2" x14ac:dyDescent="0.25">
      <c r="B1154"/>
    </row>
    <row r="1155" spans="2:2" x14ac:dyDescent="0.25">
      <c r="B1155"/>
    </row>
    <row r="1156" spans="2:2" x14ac:dyDescent="0.25">
      <c r="B1156"/>
    </row>
    <row r="1157" spans="2:2" x14ac:dyDescent="0.25">
      <c r="B1157"/>
    </row>
    <row r="1158" spans="2:2" x14ac:dyDescent="0.25">
      <c r="B1158"/>
    </row>
    <row r="1159" spans="2:2" x14ac:dyDescent="0.25">
      <c r="B1159"/>
    </row>
    <row r="1160" spans="2:2" x14ac:dyDescent="0.25">
      <c r="B1160"/>
    </row>
    <row r="1161" spans="2:2" x14ac:dyDescent="0.25">
      <c r="B1161"/>
    </row>
    <row r="1162" spans="2:2" x14ac:dyDescent="0.25">
      <c r="B1162"/>
    </row>
    <row r="1163" spans="2:2" x14ac:dyDescent="0.25">
      <c r="B1163"/>
    </row>
    <row r="1164" spans="2:2" x14ac:dyDescent="0.25">
      <c r="B1164"/>
    </row>
    <row r="1165" spans="2:2" x14ac:dyDescent="0.25">
      <c r="B1165"/>
    </row>
    <row r="1166" spans="2:2" x14ac:dyDescent="0.25">
      <c r="B1166"/>
    </row>
    <row r="1167" spans="2:2" x14ac:dyDescent="0.25">
      <c r="B1167"/>
    </row>
    <row r="1168" spans="2:2" x14ac:dyDescent="0.25">
      <c r="B1168"/>
    </row>
    <row r="1169" spans="2:2" x14ac:dyDescent="0.25">
      <c r="B1169"/>
    </row>
    <row r="1170" spans="2:2" x14ac:dyDescent="0.25">
      <c r="B1170"/>
    </row>
    <row r="1171" spans="2:2" x14ac:dyDescent="0.25">
      <c r="B1171"/>
    </row>
    <row r="1172" spans="2:2" x14ac:dyDescent="0.25">
      <c r="B1172"/>
    </row>
    <row r="1173" spans="2:2" x14ac:dyDescent="0.25">
      <c r="B1173"/>
    </row>
    <row r="1174" spans="2:2" x14ac:dyDescent="0.25">
      <c r="B1174"/>
    </row>
    <row r="1175" spans="2:2" x14ac:dyDescent="0.25">
      <c r="B1175"/>
    </row>
    <row r="1176" spans="2:2" x14ac:dyDescent="0.25">
      <c r="B1176"/>
    </row>
    <row r="1177" spans="2:2" x14ac:dyDescent="0.25">
      <c r="B1177"/>
    </row>
    <row r="1178" spans="2:2" x14ac:dyDescent="0.25">
      <c r="B1178"/>
    </row>
    <row r="1179" spans="2:2" x14ac:dyDescent="0.25">
      <c r="B1179"/>
    </row>
    <row r="1180" spans="2:2" x14ac:dyDescent="0.25">
      <c r="B1180"/>
    </row>
    <row r="1181" spans="2:2" x14ac:dyDescent="0.25">
      <c r="B1181"/>
    </row>
    <row r="1182" spans="2:2" x14ac:dyDescent="0.25">
      <c r="B1182"/>
    </row>
    <row r="1183" spans="2:2" x14ac:dyDescent="0.25">
      <c r="B1183"/>
    </row>
    <row r="1184" spans="2:2" x14ac:dyDescent="0.25">
      <c r="B1184"/>
    </row>
    <row r="1185" spans="2:2" x14ac:dyDescent="0.25">
      <c r="B1185"/>
    </row>
    <row r="1186" spans="2:2" x14ac:dyDescent="0.25">
      <c r="B1186"/>
    </row>
    <row r="1187" spans="2:2" x14ac:dyDescent="0.25">
      <c r="B1187"/>
    </row>
    <row r="1188" spans="2:2" x14ac:dyDescent="0.25">
      <c r="B1188"/>
    </row>
    <row r="1189" spans="2:2" x14ac:dyDescent="0.25">
      <c r="B1189"/>
    </row>
    <row r="1190" spans="2:2" x14ac:dyDescent="0.25">
      <c r="B1190"/>
    </row>
    <row r="1191" spans="2:2" x14ac:dyDescent="0.25">
      <c r="B1191"/>
    </row>
    <row r="1192" spans="2:2" x14ac:dyDescent="0.25">
      <c r="B1192"/>
    </row>
    <row r="1193" spans="2:2" x14ac:dyDescent="0.25">
      <c r="B1193"/>
    </row>
    <row r="1194" spans="2:2" x14ac:dyDescent="0.25">
      <c r="B1194"/>
    </row>
    <row r="1195" spans="2:2" x14ac:dyDescent="0.25">
      <c r="B1195"/>
    </row>
    <row r="1196" spans="2:2" x14ac:dyDescent="0.25">
      <c r="B1196"/>
    </row>
    <row r="1197" spans="2:2" x14ac:dyDescent="0.25">
      <c r="B1197"/>
    </row>
    <row r="1198" spans="2:2" x14ac:dyDescent="0.25">
      <c r="B1198"/>
    </row>
    <row r="1199" spans="2:2" x14ac:dyDescent="0.25">
      <c r="B1199"/>
    </row>
    <row r="1200" spans="2:2" x14ac:dyDescent="0.25">
      <c r="B1200"/>
    </row>
    <row r="1201" spans="2:2" x14ac:dyDescent="0.25">
      <c r="B1201"/>
    </row>
    <row r="1202" spans="2:2" x14ac:dyDescent="0.25">
      <c r="B1202"/>
    </row>
    <row r="1203" spans="2:2" x14ac:dyDescent="0.25">
      <c r="B1203"/>
    </row>
    <row r="1204" spans="2:2" x14ac:dyDescent="0.25">
      <c r="B1204"/>
    </row>
    <row r="1205" spans="2:2" x14ac:dyDescent="0.25">
      <c r="B1205"/>
    </row>
    <row r="1206" spans="2:2" x14ac:dyDescent="0.25">
      <c r="B1206"/>
    </row>
    <row r="1207" spans="2:2" x14ac:dyDescent="0.25">
      <c r="B1207"/>
    </row>
    <row r="1208" spans="2:2" x14ac:dyDescent="0.25">
      <c r="B1208"/>
    </row>
    <row r="1209" spans="2:2" x14ac:dyDescent="0.25">
      <c r="B1209"/>
    </row>
    <row r="1210" spans="2:2" x14ac:dyDescent="0.25">
      <c r="B1210"/>
    </row>
    <row r="1211" spans="2:2" x14ac:dyDescent="0.25">
      <c r="B1211"/>
    </row>
    <row r="1212" spans="2:2" x14ac:dyDescent="0.25">
      <c r="B1212"/>
    </row>
    <row r="1213" spans="2:2" x14ac:dyDescent="0.25">
      <c r="B1213"/>
    </row>
    <row r="1214" spans="2:2" x14ac:dyDescent="0.25">
      <c r="B1214"/>
    </row>
    <row r="1215" spans="2:2" x14ac:dyDescent="0.25">
      <c r="B1215"/>
    </row>
    <row r="1216" spans="2:2" x14ac:dyDescent="0.25">
      <c r="B1216"/>
    </row>
    <row r="1217" spans="2:2" x14ac:dyDescent="0.25">
      <c r="B1217"/>
    </row>
    <row r="1218" spans="2:2" x14ac:dyDescent="0.25">
      <c r="B1218"/>
    </row>
    <row r="1219" spans="2:2" x14ac:dyDescent="0.25">
      <c r="B1219"/>
    </row>
    <row r="1220" spans="2:2" x14ac:dyDescent="0.25">
      <c r="B1220"/>
    </row>
    <row r="1221" spans="2:2" x14ac:dyDescent="0.25">
      <c r="B1221"/>
    </row>
    <row r="1222" spans="2:2" x14ac:dyDescent="0.25">
      <c r="B1222"/>
    </row>
    <row r="1223" spans="2:2" x14ac:dyDescent="0.25">
      <c r="B1223"/>
    </row>
    <row r="1224" spans="2:2" x14ac:dyDescent="0.25">
      <c r="B1224"/>
    </row>
    <row r="1225" spans="2:2" x14ac:dyDescent="0.25">
      <c r="B1225"/>
    </row>
    <row r="1226" spans="2:2" x14ac:dyDescent="0.25">
      <c r="B1226"/>
    </row>
    <row r="1227" spans="2:2" x14ac:dyDescent="0.25">
      <c r="B1227"/>
    </row>
    <row r="1228" spans="2:2" x14ac:dyDescent="0.25">
      <c r="B1228"/>
    </row>
    <row r="1229" spans="2:2" x14ac:dyDescent="0.25">
      <c r="B1229"/>
    </row>
    <row r="1230" spans="2:2" x14ac:dyDescent="0.25">
      <c r="B1230"/>
    </row>
    <row r="1231" spans="2:2" x14ac:dyDescent="0.25">
      <c r="B1231"/>
    </row>
    <row r="1232" spans="2:2" x14ac:dyDescent="0.25">
      <c r="B1232"/>
    </row>
    <row r="1233" spans="2:2" x14ac:dyDescent="0.25">
      <c r="B1233"/>
    </row>
    <row r="1234" spans="2:2" x14ac:dyDescent="0.25">
      <c r="B1234"/>
    </row>
    <row r="1235" spans="2:2" x14ac:dyDescent="0.25">
      <c r="B1235"/>
    </row>
    <row r="1236" spans="2:2" x14ac:dyDescent="0.25">
      <c r="B1236"/>
    </row>
    <row r="1237" spans="2:2" x14ac:dyDescent="0.25">
      <c r="B1237"/>
    </row>
    <row r="1238" spans="2:2" x14ac:dyDescent="0.25">
      <c r="B1238"/>
    </row>
    <row r="1239" spans="2:2" x14ac:dyDescent="0.25">
      <c r="B1239"/>
    </row>
    <row r="1240" spans="2:2" x14ac:dyDescent="0.25">
      <c r="B1240"/>
    </row>
    <row r="1241" spans="2:2" x14ac:dyDescent="0.25">
      <c r="B1241"/>
    </row>
    <row r="1242" spans="2:2" x14ac:dyDescent="0.25">
      <c r="B1242"/>
    </row>
    <row r="1243" spans="2:2" x14ac:dyDescent="0.25">
      <c r="B1243"/>
    </row>
    <row r="1244" spans="2:2" x14ac:dyDescent="0.25">
      <c r="B1244"/>
    </row>
    <row r="1245" spans="2:2" x14ac:dyDescent="0.25">
      <c r="B1245"/>
    </row>
    <row r="1246" spans="2:2" x14ac:dyDescent="0.25">
      <c r="B1246"/>
    </row>
    <row r="1247" spans="2:2" x14ac:dyDescent="0.25">
      <c r="B1247"/>
    </row>
    <row r="1248" spans="2:2" x14ac:dyDescent="0.25">
      <c r="B1248"/>
    </row>
    <row r="1249" spans="2:2" x14ac:dyDescent="0.25">
      <c r="B1249"/>
    </row>
    <row r="1250" spans="2:2" x14ac:dyDescent="0.25">
      <c r="B1250"/>
    </row>
    <row r="1251" spans="2:2" x14ac:dyDescent="0.25">
      <c r="B1251"/>
    </row>
    <row r="1252" spans="2:2" x14ac:dyDescent="0.25">
      <c r="B1252"/>
    </row>
    <row r="1253" spans="2:2" x14ac:dyDescent="0.25">
      <c r="B1253"/>
    </row>
    <row r="1254" spans="2:2" x14ac:dyDescent="0.25">
      <c r="B1254"/>
    </row>
    <row r="1255" spans="2:2" x14ac:dyDescent="0.25">
      <c r="B1255"/>
    </row>
    <row r="1256" spans="2:2" x14ac:dyDescent="0.25">
      <c r="B1256"/>
    </row>
    <row r="1257" spans="2:2" x14ac:dyDescent="0.25">
      <c r="B1257"/>
    </row>
    <row r="1258" spans="2:2" x14ac:dyDescent="0.25">
      <c r="B1258"/>
    </row>
    <row r="1259" spans="2:2" x14ac:dyDescent="0.25">
      <c r="B1259"/>
    </row>
    <row r="1260" spans="2:2" x14ac:dyDescent="0.25">
      <c r="B1260"/>
    </row>
    <row r="1261" spans="2:2" x14ac:dyDescent="0.25">
      <c r="B1261"/>
    </row>
    <row r="1262" spans="2:2" x14ac:dyDescent="0.25">
      <c r="B1262"/>
    </row>
    <row r="1263" spans="2:2" x14ac:dyDescent="0.25">
      <c r="B1263"/>
    </row>
    <row r="1264" spans="2:2" x14ac:dyDescent="0.25">
      <c r="B1264"/>
    </row>
    <row r="1265" spans="2:2" x14ac:dyDescent="0.25">
      <c r="B1265"/>
    </row>
    <row r="1266" spans="2:2" x14ac:dyDescent="0.25">
      <c r="B1266"/>
    </row>
    <row r="1267" spans="2:2" x14ac:dyDescent="0.25">
      <c r="B1267"/>
    </row>
    <row r="1268" spans="2:2" x14ac:dyDescent="0.25">
      <c r="B1268"/>
    </row>
    <row r="1269" spans="2:2" x14ac:dyDescent="0.25">
      <c r="B1269"/>
    </row>
    <row r="1270" spans="2:2" x14ac:dyDescent="0.25">
      <c r="B1270"/>
    </row>
    <row r="1271" spans="2:2" x14ac:dyDescent="0.25">
      <c r="B1271"/>
    </row>
    <row r="1272" spans="2:2" x14ac:dyDescent="0.25">
      <c r="B1272"/>
    </row>
    <row r="1273" spans="2:2" x14ac:dyDescent="0.25">
      <c r="B1273"/>
    </row>
    <row r="1274" spans="2:2" x14ac:dyDescent="0.25">
      <c r="B1274"/>
    </row>
    <row r="1275" spans="2:2" x14ac:dyDescent="0.25">
      <c r="B1275"/>
    </row>
    <row r="1276" spans="2:2" x14ac:dyDescent="0.25">
      <c r="B1276"/>
    </row>
    <row r="1277" spans="2:2" x14ac:dyDescent="0.25">
      <c r="B1277"/>
    </row>
    <row r="1278" spans="2:2" x14ac:dyDescent="0.25">
      <c r="B1278"/>
    </row>
    <row r="1279" spans="2:2" x14ac:dyDescent="0.25">
      <c r="B1279"/>
    </row>
    <row r="1280" spans="2:2" x14ac:dyDescent="0.25">
      <c r="B1280"/>
    </row>
    <row r="1281" spans="2:2" x14ac:dyDescent="0.25">
      <c r="B1281"/>
    </row>
    <row r="1282" spans="2:2" x14ac:dyDescent="0.25">
      <c r="B1282"/>
    </row>
    <row r="1283" spans="2:2" x14ac:dyDescent="0.25">
      <c r="B1283"/>
    </row>
    <row r="1284" spans="2:2" x14ac:dyDescent="0.25">
      <c r="B1284"/>
    </row>
    <row r="1285" spans="2:2" x14ac:dyDescent="0.25">
      <c r="B1285"/>
    </row>
    <row r="1286" spans="2:2" x14ac:dyDescent="0.25">
      <c r="B1286"/>
    </row>
    <row r="1287" spans="2:2" x14ac:dyDescent="0.25">
      <c r="B1287"/>
    </row>
    <row r="1288" spans="2:2" x14ac:dyDescent="0.25">
      <c r="B1288"/>
    </row>
    <row r="1289" spans="2:2" x14ac:dyDescent="0.25">
      <c r="B1289"/>
    </row>
    <row r="1290" spans="2:2" x14ac:dyDescent="0.25">
      <c r="B1290"/>
    </row>
    <row r="1291" spans="2:2" x14ac:dyDescent="0.25">
      <c r="B1291"/>
    </row>
    <row r="1292" spans="2:2" x14ac:dyDescent="0.25">
      <c r="B1292"/>
    </row>
    <row r="1293" spans="2:2" x14ac:dyDescent="0.25">
      <c r="B1293"/>
    </row>
    <row r="1294" spans="2:2" x14ac:dyDescent="0.25">
      <c r="B1294"/>
    </row>
    <row r="1295" spans="2:2" x14ac:dyDescent="0.25">
      <c r="B1295"/>
    </row>
    <row r="1296" spans="2:2" x14ac:dyDescent="0.25">
      <c r="B1296"/>
    </row>
    <row r="1297" spans="2:2" x14ac:dyDescent="0.25">
      <c r="B1297"/>
    </row>
    <row r="1298" spans="2:2" x14ac:dyDescent="0.25">
      <c r="B1298"/>
    </row>
    <row r="1299" spans="2:2" x14ac:dyDescent="0.25">
      <c r="B1299"/>
    </row>
    <row r="1300" spans="2:2" x14ac:dyDescent="0.25">
      <c r="B1300"/>
    </row>
    <row r="1301" spans="2:2" x14ac:dyDescent="0.25">
      <c r="B1301"/>
    </row>
    <row r="1302" spans="2:2" x14ac:dyDescent="0.25">
      <c r="B1302"/>
    </row>
    <row r="1303" spans="2:2" x14ac:dyDescent="0.25">
      <c r="B1303"/>
    </row>
    <row r="1304" spans="2:2" x14ac:dyDescent="0.25">
      <c r="B1304"/>
    </row>
    <row r="1305" spans="2:2" x14ac:dyDescent="0.25">
      <c r="B1305"/>
    </row>
    <row r="1306" spans="2:2" x14ac:dyDescent="0.25">
      <c r="B1306"/>
    </row>
    <row r="1307" spans="2:2" x14ac:dyDescent="0.25">
      <c r="B1307"/>
    </row>
    <row r="1308" spans="2:2" x14ac:dyDescent="0.25">
      <c r="B1308"/>
    </row>
    <row r="1309" spans="2:2" x14ac:dyDescent="0.25">
      <c r="B1309"/>
    </row>
    <row r="1310" spans="2:2" x14ac:dyDescent="0.25">
      <c r="B1310"/>
    </row>
    <row r="1311" spans="2:2" x14ac:dyDescent="0.25">
      <c r="B1311"/>
    </row>
    <row r="1312" spans="2:2" x14ac:dyDescent="0.25">
      <c r="B1312"/>
    </row>
    <row r="1313" spans="2:2" x14ac:dyDescent="0.25">
      <c r="B1313"/>
    </row>
    <row r="1314" spans="2:2" x14ac:dyDescent="0.25">
      <c r="B1314"/>
    </row>
    <row r="1315" spans="2:2" x14ac:dyDescent="0.25">
      <c r="B1315"/>
    </row>
    <row r="1316" spans="2:2" x14ac:dyDescent="0.25">
      <c r="B1316"/>
    </row>
    <row r="1317" spans="2:2" x14ac:dyDescent="0.25">
      <c r="B1317"/>
    </row>
    <row r="1318" spans="2:2" x14ac:dyDescent="0.25">
      <c r="B1318"/>
    </row>
    <row r="1319" spans="2:2" x14ac:dyDescent="0.25">
      <c r="B1319"/>
    </row>
    <row r="1320" spans="2:2" x14ac:dyDescent="0.25">
      <c r="B1320"/>
    </row>
    <row r="1321" spans="2:2" x14ac:dyDescent="0.25">
      <c r="B1321"/>
    </row>
    <row r="1322" spans="2:2" x14ac:dyDescent="0.25">
      <c r="B1322"/>
    </row>
    <row r="1323" spans="2:2" x14ac:dyDescent="0.25">
      <c r="B1323"/>
    </row>
    <row r="1324" spans="2:2" x14ac:dyDescent="0.25">
      <c r="B1324"/>
    </row>
    <row r="1325" spans="2:2" x14ac:dyDescent="0.25">
      <c r="B1325"/>
    </row>
    <row r="1326" spans="2:2" x14ac:dyDescent="0.25">
      <c r="B1326"/>
    </row>
    <row r="1327" spans="2:2" x14ac:dyDescent="0.25">
      <c r="B1327"/>
    </row>
    <row r="1328" spans="2:2" x14ac:dyDescent="0.25">
      <c r="B1328"/>
    </row>
    <row r="1329" spans="2:2" x14ac:dyDescent="0.25">
      <c r="B1329"/>
    </row>
    <row r="1330" spans="2:2" x14ac:dyDescent="0.25">
      <c r="B1330"/>
    </row>
    <row r="1331" spans="2:2" x14ac:dyDescent="0.25">
      <c r="B1331"/>
    </row>
    <row r="1332" spans="2:2" x14ac:dyDescent="0.25">
      <c r="B1332"/>
    </row>
    <row r="1333" spans="2:2" x14ac:dyDescent="0.25">
      <c r="B1333"/>
    </row>
    <row r="1334" spans="2:2" x14ac:dyDescent="0.25">
      <c r="B1334"/>
    </row>
    <row r="1335" spans="2:2" x14ac:dyDescent="0.25">
      <c r="B1335"/>
    </row>
    <row r="1336" spans="2:2" x14ac:dyDescent="0.25">
      <c r="B1336"/>
    </row>
    <row r="1337" spans="2:2" x14ac:dyDescent="0.25">
      <c r="B1337"/>
    </row>
    <row r="1338" spans="2:2" x14ac:dyDescent="0.25">
      <c r="B1338"/>
    </row>
    <row r="1339" spans="2:2" x14ac:dyDescent="0.25">
      <c r="B1339"/>
    </row>
    <row r="1340" spans="2:2" x14ac:dyDescent="0.25">
      <c r="B1340"/>
    </row>
    <row r="1341" spans="2:2" x14ac:dyDescent="0.25">
      <c r="B1341"/>
    </row>
    <row r="1342" spans="2:2" x14ac:dyDescent="0.25">
      <c r="B1342"/>
    </row>
    <row r="1343" spans="2:2" x14ac:dyDescent="0.25">
      <c r="B1343"/>
    </row>
    <row r="1344" spans="2:2" x14ac:dyDescent="0.25">
      <c r="B1344"/>
    </row>
    <row r="1345" spans="2:2" x14ac:dyDescent="0.25">
      <c r="B1345"/>
    </row>
    <row r="1346" spans="2:2" x14ac:dyDescent="0.25">
      <c r="B1346"/>
    </row>
    <row r="1347" spans="2:2" x14ac:dyDescent="0.25">
      <c r="B1347"/>
    </row>
    <row r="1348" spans="2:2" x14ac:dyDescent="0.25">
      <c r="B1348"/>
    </row>
    <row r="1349" spans="2:2" x14ac:dyDescent="0.25">
      <c r="B1349"/>
    </row>
    <row r="1350" spans="2:2" x14ac:dyDescent="0.25">
      <c r="B1350"/>
    </row>
    <row r="1351" spans="2:2" x14ac:dyDescent="0.25">
      <c r="B1351"/>
    </row>
    <row r="1352" spans="2:2" x14ac:dyDescent="0.25">
      <c r="B1352"/>
    </row>
    <row r="1353" spans="2:2" x14ac:dyDescent="0.25">
      <c r="B1353"/>
    </row>
    <row r="1354" spans="2:2" x14ac:dyDescent="0.25">
      <c r="B1354"/>
    </row>
    <row r="1355" spans="2:2" x14ac:dyDescent="0.25">
      <c r="B1355"/>
    </row>
    <row r="1356" spans="2:2" x14ac:dyDescent="0.25">
      <c r="B1356"/>
    </row>
    <row r="1357" spans="2:2" x14ac:dyDescent="0.25">
      <c r="B1357"/>
    </row>
    <row r="1358" spans="2:2" x14ac:dyDescent="0.25">
      <c r="B1358"/>
    </row>
    <row r="1359" spans="2:2" x14ac:dyDescent="0.25">
      <c r="B1359"/>
    </row>
    <row r="1360" spans="2:2" x14ac:dyDescent="0.25">
      <c r="B1360"/>
    </row>
    <row r="1361" spans="2:2" x14ac:dyDescent="0.25">
      <c r="B1361"/>
    </row>
    <row r="1362" spans="2:2" x14ac:dyDescent="0.25">
      <c r="B1362"/>
    </row>
    <row r="1363" spans="2:2" x14ac:dyDescent="0.25">
      <c r="B1363"/>
    </row>
    <row r="1364" spans="2:2" x14ac:dyDescent="0.25">
      <c r="B1364"/>
    </row>
    <row r="1365" spans="2:2" x14ac:dyDescent="0.25">
      <c r="B1365"/>
    </row>
    <row r="1366" spans="2:2" x14ac:dyDescent="0.25">
      <c r="B1366"/>
    </row>
    <row r="1367" spans="2:2" x14ac:dyDescent="0.25">
      <c r="B1367"/>
    </row>
    <row r="1368" spans="2:2" x14ac:dyDescent="0.25">
      <c r="B1368"/>
    </row>
    <row r="1369" spans="2:2" x14ac:dyDescent="0.25">
      <c r="B1369"/>
    </row>
    <row r="1370" spans="2:2" x14ac:dyDescent="0.25">
      <c r="B1370"/>
    </row>
    <row r="1371" spans="2:2" x14ac:dyDescent="0.25">
      <c r="B1371"/>
    </row>
    <row r="1372" spans="2:2" x14ac:dyDescent="0.25">
      <c r="B1372"/>
    </row>
    <row r="1373" spans="2:2" x14ac:dyDescent="0.25">
      <c r="B1373"/>
    </row>
    <row r="1374" spans="2:2" x14ac:dyDescent="0.25">
      <c r="B1374"/>
    </row>
    <row r="1375" spans="2:2" x14ac:dyDescent="0.25">
      <c r="B1375"/>
    </row>
    <row r="1376" spans="2:2" x14ac:dyDescent="0.25">
      <c r="B1376"/>
    </row>
    <row r="1377" spans="2:2" x14ac:dyDescent="0.25">
      <c r="B1377"/>
    </row>
    <row r="1378" spans="2:2" x14ac:dyDescent="0.25">
      <c r="B1378"/>
    </row>
    <row r="1379" spans="2:2" x14ac:dyDescent="0.25">
      <c r="B1379"/>
    </row>
    <row r="1380" spans="2:2" x14ac:dyDescent="0.25">
      <c r="B1380"/>
    </row>
    <row r="1381" spans="2:2" x14ac:dyDescent="0.25">
      <c r="B1381"/>
    </row>
    <row r="1382" spans="2:2" x14ac:dyDescent="0.25">
      <c r="B1382"/>
    </row>
    <row r="1383" spans="2:2" x14ac:dyDescent="0.25">
      <c r="B1383"/>
    </row>
    <row r="1384" spans="2:2" x14ac:dyDescent="0.25">
      <c r="B1384"/>
    </row>
    <row r="1385" spans="2:2" x14ac:dyDescent="0.25">
      <c r="B1385"/>
    </row>
    <row r="1386" spans="2:2" x14ac:dyDescent="0.25">
      <c r="B1386"/>
    </row>
    <row r="1387" spans="2:2" x14ac:dyDescent="0.25">
      <c r="B1387"/>
    </row>
    <row r="1388" spans="2:2" x14ac:dyDescent="0.25">
      <c r="B1388"/>
    </row>
    <row r="1389" spans="2:2" x14ac:dyDescent="0.25">
      <c r="B1389"/>
    </row>
    <row r="1390" spans="2:2" x14ac:dyDescent="0.25">
      <c r="B1390"/>
    </row>
    <row r="1391" spans="2:2" x14ac:dyDescent="0.25">
      <c r="B1391"/>
    </row>
    <row r="1392" spans="2:2" x14ac:dyDescent="0.25">
      <c r="B1392"/>
    </row>
    <row r="1393" spans="2:2" x14ac:dyDescent="0.25">
      <c r="B1393"/>
    </row>
    <row r="1394" spans="2:2" x14ac:dyDescent="0.25">
      <c r="B1394"/>
    </row>
    <row r="1395" spans="2:2" x14ac:dyDescent="0.25">
      <c r="B1395"/>
    </row>
    <row r="1396" spans="2:2" x14ac:dyDescent="0.25">
      <c r="B1396"/>
    </row>
    <row r="1397" spans="2:2" x14ac:dyDescent="0.25">
      <c r="B1397"/>
    </row>
    <row r="1398" spans="2:2" x14ac:dyDescent="0.25">
      <c r="B1398"/>
    </row>
    <row r="1399" spans="2:2" x14ac:dyDescent="0.25">
      <c r="B1399"/>
    </row>
    <row r="1400" spans="2:2" x14ac:dyDescent="0.25">
      <c r="B1400"/>
    </row>
    <row r="1401" spans="2:2" x14ac:dyDescent="0.25">
      <c r="B1401"/>
    </row>
    <row r="1402" spans="2:2" x14ac:dyDescent="0.25">
      <c r="B1402"/>
    </row>
    <row r="1403" spans="2:2" x14ac:dyDescent="0.25">
      <c r="B1403"/>
    </row>
    <row r="1404" spans="2:2" x14ac:dyDescent="0.25">
      <c r="B1404"/>
    </row>
    <row r="1405" spans="2:2" x14ac:dyDescent="0.25">
      <c r="B1405"/>
    </row>
    <row r="1406" spans="2:2" x14ac:dyDescent="0.25">
      <c r="B1406"/>
    </row>
    <row r="1407" spans="2:2" x14ac:dyDescent="0.25">
      <c r="B1407"/>
    </row>
    <row r="1408" spans="2:2" x14ac:dyDescent="0.25">
      <c r="B1408"/>
    </row>
    <row r="1409" spans="2:2" x14ac:dyDescent="0.25">
      <c r="B1409"/>
    </row>
    <row r="1410" spans="2:2" x14ac:dyDescent="0.25">
      <c r="B1410"/>
    </row>
    <row r="1411" spans="2:2" x14ac:dyDescent="0.25">
      <c r="B1411"/>
    </row>
    <row r="1412" spans="2:2" x14ac:dyDescent="0.25">
      <c r="B1412"/>
    </row>
    <row r="1413" spans="2:2" x14ac:dyDescent="0.25">
      <c r="B1413"/>
    </row>
    <row r="1414" spans="2:2" x14ac:dyDescent="0.25">
      <c r="B1414"/>
    </row>
    <row r="1415" spans="2:2" x14ac:dyDescent="0.25">
      <c r="B1415"/>
    </row>
    <row r="1416" spans="2:2" x14ac:dyDescent="0.25">
      <c r="B1416"/>
    </row>
    <row r="1417" spans="2:2" x14ac:dyDescent="0.25">
      <c r="B1417"/>
    </row>
    <row r="1418" spans="2:2" x14ac:dyDescent="0.25">
      <c r="B1418"/>
    </row>
    <row r="1419" spans="2:2" x14ac:dyDescent="0.25">
      <c r="B1419"/>
    </row>
    <row r="1420" spans="2:2" x14ac:dyDescent="0.25">
      <c r="B1420"/>
    </row>
    <row r="1421" spans="2:2" x14ac:dyDescent="0.25">
      <c r="B1421"/>
    </row>
    <row r="1422" spans="2:2" x14ac:dyDescent="0.25">
      <c r="B1422"/>
    </row>
    <row r="1423" spans="2:2" x14ac:dyDescent="0.25">
      <c r="B1423"/>
    </row>
    <row r="1424" spans="2:2" x14ac:dyDescent="0.25">
      <c r="B1424"/>
    </row>
    <row r="1425" spans="2:2" x14ac:dyDescent="0.25">
      <c r="B1425"/>
    </row>
    <row r="1426" spans="2:2" x14ac:dyDescent="0.25">
      <c r="B1426"/>
    </row>
    <row r="1427" spans="2:2" x14ac:dyDescent="0.25">
      <c r="B1427"/>
    </row>
    <row r="1428" spans="2:2" x14ac:dyDescent="0.25">
      <c r="B1428"/>
    </row>
    <row r="1429" spans="2:2" x14ac:dyDescent="0.25">
      <c r="B1429"/>
    </row>
    <row r="1430" spans="2:2" x14ac:dyDescent="0.25">
      <c r="B1430"/>
    </row>
    <row r="1431" spans="2:2" x14ac:dyDescent="0.25">
      <c r="B1431"/>
    </row>
    <row r="1432" spans="2:2" x14ac:dyDescent="0.25">
      <c r="B1432"/>
    </row>
    <row r="1433" spans="2:2" x14ac:dyDescent="0.25">
      <c r="B1433"/>
    </row>
    <row r="1434" spans="2:2" x14ac:dyDescent="0.25">
      <c r="B1434"/>
    </row>
    <row r="1435" spans="2:2" x14ac:dyDescent="0.25">
      <c r="B1435"/>
    </row>
    <row r="1436" spans="2:2" x14ac:dyDescent="0.25">
      <c r="B1436"/>
    </row>
    <row r="1437" spans="2:2" x14ac:dyDescent="0.25">
      <c r="B1437"/>
    </row>
    <row r="1438" spans="2:2" x14ac:dyDescent="0.25">
      <c r="B1438"/>
    </row>
    <row r="1439" spans="2:2" x14ac:dyDescent="0.25">
      <c r="B1439"/>
    </row>
    <row r="1440" spans="2:2" x14ac:dyDescent="0.25">
      <c r="B1440"/>
    </row>
    <row r="1441" spans="2:2" x14ac:dyDescent="0.25">
      <c r="B1441"/>
    </row>
    <row r="1442" spans="2:2" x14ac:dyDescent="0.25">
      <c r="B1442"/>
    </row>
    <row r="1443" spans="2:2" x14ac:dyDescent="0.25">
      <c r="B1443"/>
    </row>
    <row r="1444" spans="2:2" x14ac:dyDescent="0.25">
      <c r="B1444"/>
    </row>
    <row r="1445" spans="2:2" x14ac:dyDescent="0.25">
      <c r="B1445"/>
    </row>
    <row r="1446" spans="2:2" x14ac:dyDescent="0.25">
      <c r="B1446"/>
    </row>
    <row r="1447" spans="2:2" x14ac:dyDescent="0.25">
      <c r="B1447"/>
    </row>
    <row r="1448" spans="2:2" x14ac:dyDescent="0.25">
      <c r="B1448"/>
    </row>
    <row r="1449" spans="2:2" x14ac:dyDescent="0.25">
      <c r="B1449"/>
    </row>
    <row r="1450" spans="2:2" x14ac:dyDescent="0.25">
      <c r="B1450"/>
    </row>
    <row r="1451" spans="2:2" x14ac:dyDescent="0.25">
      <c r="B1451"/>
    </row>
    <row r="1452" spans="2:2" x14ac:dyDescent="0.25">
      <c r="B1452"/>
    </row>
    <row r="1453" spans="2:2" x14ac:dyDescent="0.25">
      <c r="B1453"/>
    </row>
    <row r="1454" spans="2:2" x14ac:dyDescent="0.25">
      <c r="B1454"/>
    </row>
    <row r="1455" spans="2:2" x14ac:dyDescent="0.25">
      <c r="B1455"/>
    </row>
    <row r="1456" spans="2:2" x14ac:dyDescent="0.25">
      <c r="B1456"/>
    </row>
    <row r="1457" spans="2:2" x14ac:dyDescent="0.25">
      <c r="B1457"/>
    </row>
    <row r="1458" spans="2:2" x14ac:dyDescent="0.25">
      <c r="B1458"/>
    </row>
    <row r="1459" spans="2:2" x14ac:dyDescent="0.25">
      <c r="B1459"/>
    </row>
    <row r="1460" spans="2:2" x14ac:dyDescent="0.25">
      <c r="B1460"/>
    </row>
    <row r="1461" spans="2:2" x14ac:dyDescent="0.25">
      <c r="B1461"/>
    </row>
    <row r="1462" spans="2:2" x14ac:dyDescent="0.25">
      <c r="B1462"/>
    </row>
    <row r="1463" spans="2:2" x14ac:dyDescent="0.25">
      <c r="B1463"/>
    </row>
    <row r="1464" spans="2:2" x14ac:dyDescent="0.25">
      <c r="B1464"/>
    </row>
    <row r="1465" spans="2:2" x14ac:dyDescent="0.25">
      <c r="B1465"/>
    </row>
    <row r="1466" spans="2:2" x14ac:dyDescent="0.25">
      <c r="B1466"/>
    </row>
    <row r="1467" spans="2:2" x14ac:dyDescent="0.25">
      <c r="B1467"/>
    </row>
    <row r="1468" spans="2:2" x14ac:dyDescent="0.25">
      <c r="B1468"/>
    </row>
    <row r="1469" spans="2:2" x14ac:dyDescent="0.25">
      <c r="B1469"/>
    </row>
    <row r="1470" spans="2:2" x14ac:dyDescent="0.25">
      <c r="B1470"/>
    </row>
    <row r="1471" spans="2:2" x14ac:dyDescent="0.25">
      <c r="B1471"/>
    </row>
    <row r="1472" spans="2:2" x14ac:dyDescent="0.25">
      <c r="B1472"/>
    </row>
    <row r="1473" spans="2:2" x14ac:dyDescent="0.25">
      <c r="B1473"/>
    </row>
    <row r="1474" spans="2:2" x14ac:dyDescent="0.25">
      <c r="B1474"/>
    </row>
    <row r="1475" spans="2:2" x14ac:dyDescent="0.25">
      <c r="B1475"/>
    </row>
    <row r="1476" spans="2:2" x14ac:dyDescent="0.25">
      <c r="B1476"/>
    </row>
    <row r="1477" spans="2:2" x14ac:dyDescent="0.25">
      <c r="B1477"/>
    </row>
    <row r="1478" spans="2:2" x14ac:dyDescent="0.25">
      <c r="B1478"/>
    </row>
    <row r="1479" spans="2:2" x14ac:dyDescent="0.25">
      <c r="B1479"/>
    </row>
    <row r="1480" spans="2:2" x14ac:dyDescent="0.25">
      <c r="B1480"/>
    </row>
    <row r="1481" spans="2:2" x14ac:dyDescent="0.25">
      <c r="B1481"/>
    </row>
    <row r="1482" spans="2:2" x14ac:dyDescent="0.25">
      <c r="B1482"/>
    </row>
    <row r="1483" spans="2:2" x14ac:dyDescent="0.25">
      <c r="B1483"/>
    </row>
    <row r="1484" spans="2:2" x14ac:dyDescent="0.25">
      <c r="B1484"/>
    </row>
    <row r="1485" spans="2:2" x14ac:dyDescent="0.25">
      <c r="B1485"/>
    </row>
    <row r="1486" spans="2:2" x14ac:dyDescent="0.25">
      <c r="B1486"/>
    </row>
    <row r="1487" spans="2:2" x14ac:dyDescent="0.25">
      <c r="B1487"/>
    </row>
    <row r="1488" spans="2:2" x14ac:dyDescent="0.25">
      <c r="B1488"/>
    </row>
    <row r="1489" spans="2:2" x14ac:dyDescent="0.25">
      <c r="B1489"/>
    </row>
    <row r="1490" spans="2:2" x14ac:dyDescent="0.25">
      <c r="B1490"/>
    </row>
    <row r="1491" spans="2:2" x14ac:dyDescent="0.25">
      <c r="B1491"/>
    </row>
    <row r="1492" spans="2:2" x14ac:dyDescent="0.25">
      <c r="B1492"/>
    </row>
    <row r="1493" spans="2:2" x14ac:dyDescent="0.25">
      <c r="B1493"/>
    </row>
    <row r="1494" spans="2:2" x14ac:dyDescent="0.25">
      <c r="B1494"/>
    </row>
    <row r="1495" spans="2:2" x14ac:dyDescent="0.25">
      <c r="B1495"/>
    </row>
    <row r="1496" spans="2:2" x14ac:dyDescent="0.25">
      <c r="B1496"/>
    </row>
    <row r="1497" spans="2:2" x14ac:dyDescent="0.25">
      <c r="B1497"/>
    </row>
    <row r="1498" spans="2:2" x14ac:dyDescent="0.25">
      <c r="B1498"/>
    </row>
    <row r="1499" spans="2:2" x14ac:dyDescent="0.25">
      <c r="B1499"/>
    </row>
    <row r="1500" spans="2:2" x14ac:dyDescent="0.25">
      <c r="B1500"/>
    </row>
    <row r="1501" spans="2:2" x14ac:dyDescent="0.25">
      <c r="B1501"/>
    </row>
    <row r="1502" spans="2:2" x14ac:dyDescent="0.25">
      <c r="B1502"/>
    </row>
    <row r="1503" spans="2:2" x14ac:dyDescent="0.25">
      <c r="B1503"/>
    </row>
    <row r="1504" spans="2:2" x14ac:dyDescent="0.25">
      <c r="B1504"/>
    </row>
    <row r="1505" spans="2:2" x14ac:dyDescent="0.25">
      <c r="B1505"/>
    </row>
    <row r="1506" spans="2:2" x14ac:dyDescent="0.25">
      <c r="B1506"/>
    </row>
    <row r="1507" spans="2:2" x14ac:dyDescent="0.25">
      <c r="B1507"/>
    </row>
    <row r="1508" spans="2:2" x14ac:dyDescent="0.25">
      <c r="B1508"/>
    </row>
    <row r="1509" spans="2:2" x14ac:dyDescent="0.25">
      <c r="B1509"/>
    </row>
    <row r="1510" spans="2:2" x14ac:dyDescent="0.25">
      <c r="B1510"/>
    </row>
    <row r="1511" spans="2:2" x14ac:dyDescent="0.25">
      <c r="B1511"/>
    </row>
    <row r="1512" spans="2:2" x14ac:dyDescent="0.25">
      <c r="B1512"/>
    </row>
    <row r="1513" spans="2:2" x14ac:dyDescent="0.25">
      <c r="B1513"/>
    </row>
    <row r="1514" spans="2:2" x14ac:dyDescent="0.25">
      <c r="B1514"/>
    </row>
    <row r="1515" spans="2:2" x14ac:dyDescent="0.25">
      <c r="B1515"/>
    </row>
    <row r="1516" spans="2:2" x14ac:dyDescent="0.25">
      <c r="B1516"/>
    </row>
    <row r="1517" spans="2:2" x14ac:dyDescent="0.25">
      <c r="B1517"/>
    </row>
    <row r="1518" spans="2:2" x14ac:dyDescent="0.25">
      <c r="B1518"/>
    </row>
    <row r="1519" spans="2:2" x14ac:dyDescent="0.25">
      <c r="B1519"/>
    </row>
    <row r="1520" spans="2:2" x14ac:dyDescent="0.25">
      <c r="B1520"/>
    </row>
    <row r="1521" spans="2:2" x14ac:dyDescent="0.25">
      <c r="B1521"/>
    </row>
    <row r="1522" spans="2:2" x14ac:dyDescent="0.25">
      <c r="B1522"/>
    </row>
    <row r="1523" spans="2:2" x14ac:dyDescent="0.25">
      <c r="B1523"/>
    </row>
    <row r="1524" spans="2:2" x14ac:dyDescent="0.25">
      <c r="B1524"/>
    </row>
    <row r="1525" spans="2:2" x14ac:dyDescent="0.25">
      <c r="B1525"/>
    </row>
    <row r="1526" spans="2:2" x14ac:dyDescent="0.25">
      <c r="B1526"/>
    </row>
    <row r="1527" spans="2:2" x14ac:dyDescent="0.25">
      <c r="B1527"/>
    </row>
    <row r="1528" spans="2:2" x14ac:dyDescent="0.25">
      <c r="B1528"/>
    </row>
    <row r="1529" spans="2:2" x14ac:dyDescent="0.25">
      <c r="B1529"/>
    </row>
    <row r="1530" spans="2:2" x14ac:dyDescent="0.25">
      <c r="B1530"/>
    </row>
    <row r="1531" spans="2:2" x14ac:dyDescent="0.25">
      <c r="B1531"/>
    </row>
    <row r="1532" spans="2:2" x14ac:dyDescent="0.25">
      <c r="B1532"/>
    </row>
    <row r="1533" spans="2:2" x14ac:dyDescent="0.25">
      <c r="B1533"/>
    </row>
    <row r="1534" spans="2:2" x14ac:dyDescent="0.25">
      <c r="B1534"/>
    </row>
    <row r="1535" spans="2:2" x14ac:dyDescent="0.25">
      <c r="B1535"/>
    </row>
    <row r="1536" spans="2:2" x14ac:dyDescent="0.25">
      <c r="B1536"/>
    </row>
    <row r="1537" spans="2:2" x14ac:dyDescent="0.25">
      <c r="B1537"/>
    </row>
    <row r="1538" spans="2:2" x14ac:dyDescent="0.25">
      <c r="B1538"/>
    </row>
    <row r="1539" spans="2:2" x14ac:dyDescent="0.25">
      <c r="B1539"/>
    </row>
    <row r="1540" spans="2:2" x14ac:dyDescent="0.25">
      <c r="B1540"/>
    </row>
    <row r="1541" spans="2:2" x14ac:dyDescent="0.25">
      <c r="B1541"/>
    </row>
    <row r="1542" spans="2:2" x14ac:dyDescent="0.25">
      <c r="B1542"/>
    </row>
    <row r="1543" spans="2:2" x14ac:dyDescent="0.25">
      <c r="B1543"/>
    </row>
    <row r="1544" spans="2:2" x14ac:dyDescent="0.25">
      <c r="B1544"/>
    </row>
    <row r="1545" spans="2:2" x14ac:dyDescent="0.25">
      <c r="B1545"/>
    </row>
    <row r="1546" spans="2:2" x14ac:dyDescent="0.25">
      <c r="B1546"/>
    </row>
    <row r="1547" spans="2:2" x14ac:dyDescent="0.25">
      <c r="B1547"/>
    </row>
    <row r="1548" spans="2:2" x14ac:dyDescent="0.25">
      <c r="B1548"/>
    </row>
    <row r="1549" spans="2:2" x14ac:dyDescent="0.25">
      <c r="B1549"/>
    </row>
    <row r="1550" spans="2:2" x14ac:dyDescent="0.25">
      <c r="B1550"/>
    </row>
    <row r="1551" spans="2:2" x14ac:dyDescent="0.25">
      <c r="B1551"/>
    </row>
    <row r="1552" spans="2:2" x14ac:dyDescent="0.25">
      <c r="B1552"/>
    </row>
    <row r="1553" spans="2:2" x14ac:dyDescent="0.25">
      <c r="B1553"/>
    </row>
    <row r="1554" spans="2:2" x14ac:dyDescent="0.25">
      <c r="B1554"/>
    </row>
    <row r="1555" spans="2:2" x14ac:dyDescent="0.25">
      <c r="B1555"/>
    </row>
    <row r="1556" spans="2:2" x14ac:dyDescent="0.25">
      <c r="B1556"/>
    </row>
    <row r="1557" spans="2:2" x14ac:dyDescent="0.25">
      <c r="B1557"/>
    </row>
    <row r="1558" spans="2:2" x14ac:dyDescent="0.25">
      <c r="B1558"/>
    </row>
    <row r="1559" spans="2:2" x14ac:dyDescent="0.25">
      <c r="B1559"/>
    </row>
    <row r="1560" spans="2:2" x14ac:dyDescent="0.25">
      <c r="B1560"/>
    </row>
    <row r="1561" spans="2:2" x14ac:dyDescent="0.25">
      <c r="B1561"/>
    </row>
    <row r="1562" spans="2:2" x14ac:dyDescent="0.25">
      <c r="B1562"/>
    </row>
    <row r="1563" spans="2:2" x14ac:dyDescent="0.25">
      <c r="B1563"/>
    </row>
    <row r="1564" spans="2:2" x14ac:dyDescent="0.25">
      <c r="B1564"/>
    </row>
    <row r="1565" spans="2:2" x14ac:dyDescent="0.25">
      <c r="B1565"/>
    </row>
    <row r="1566" spans="2:2" x14ac:dyDescent="0.25">
      <c r="B1566"/>
    </row>
    <row r="1567" spans="2:2" x14ac:dyDescent="0.25">
      <c r="B1567"/>
    </row>
    <row r="1568" spans="2:2" x14ac:dyDescent="0.25">
      <c r="B1568"/>
    </row>
    <row r="1569" spans="2:2" x14ac:dyDescent="0.25">
      <c r="B1569"/>
    </row>
    <row r="1570" spans="2:2" x14ac:dyDescent="0.25">
      <c r="B1570"/>
    </row>
    <row r="1571" spans="2:2" x14ac:dyDescent="0.25">
      <c r="B1571"/>
    </row>
    <row r="1572" spans="2:2" x14ac:dyDescent="0.25">
      <c r="B1572"/>
    </row>
    <row r="1573" spans="2:2" x14ac:dyDescent="0.25">
      <c r="B1573"/>
    </row>
    <row r="1574" spans="2:2" x14ac:dyDescent="0.25">
      <c r="B1574"/>
    </row>
    <row r="1575" spans="2:2" x14ac:dyDescent="0.25">
      <c r="B1575"/>
    </row>
    <row r="1576" spans="2:2" x14ac:dyDescent="0.25">
      <c r="B1576"/>
    </row>
    <row r="1577" spans="2:2" x14ac:dyDescent="0.25">
      <c r="B1577"/>
    </row>
    <row r="1578" spans="2:2" x14ac:dyDescent="0.25">
      <c r="B1578"/>
    </row>
    <row r="1579" spans="2:2" x14ac:dyDescent="0.25">
      <c r="B1579"/>
    </row>
    <row r="1580" spans="2:2" x14ac:dyDescent="0.25">
      <c r="B1580"/>
    </row>
    <row r="1581" spans="2:2" x14ac:dyDescent="0.25">
      <c r="B1581"/>
    </row>
    <row r="1582" spans="2:2" x14ac:dyDescent="0.25">
      <c r="B1582"/>
    </row>
    <row r="1583" spans="2:2" x14ac:dyDescent="0.25">
      <c r="B1583"/>
    </row>
    <row r="1584" spans="2:2" x14ac:dyDescent="0.25">
      <c r="B1584"/>
    </row>
    <row r="1585" spans="2:2" x14ac:dyDescent="0.25">
      <c r="B1585"/>
    </row>
    <row r="1586" spans="2:2" x14ac:dyDescent="0.25">
      <c r="B1586"/>
    </row>
    <row r="1587" spans="2:2" x14ac:dyDescent="0.25">
      <c r="B1587"/>
    </row>
    <row r="1588" spans="2:2" x14ac:dyDescent="0.25">
      <c r="B1588"/>
    </row>
    <row r="1589" spans="2:2" x14ac:dyDescent="0.25">
      <c r="B1589"/>
    </row>
    <row r="1590" spans="2:2" x14ac:dyDescent="0.25">
      <c r="B1590"/>
    </row>
    <row r="1591" spans="2:2" x14ac:dyDescent="0.25">
      <c r="B1591"/>
    </row>
    <row r="1592" spans="2:2" x14ac:dyDescent="0.25">
      <c r="B1592"/>
    </row>
    <row r="1593" spans="2:2" x14ac:dyDescent="0.25">
      <c r="B1593"/>
    </row>
    <row r="1594" spans="2:2" x14ac:dyDescent="0.25">
      <c r="B1594"/>
    </row>
    <row r="1595" spans="2:2" x14ac:dyDescent="0.25">
      <c r="B1595"/>
    </row>
    <row r="1596" spans="2:2" x14ac:dyDescent="0.25">
      <c r="B1596"/>
    </row>
    <row r="1597" spans="2:2" x14ac:dyDescent="0.25">
      <c r="B1597"/>
    </row>
    <row r="1598" spans="2:2" x14ac:dyDescent="0.25">
      <c r="B1598"/>
    </row>
    <row r="1599" spans="2:2" x14ac:dyDescent="0.25">
      <c r="B1599"/>
    </row>
    <row r="1600" spans="2:2" x14ac:dyDescent="0.25">
      <c r="B1600"/>
    </row>
    <row r="1601" spans="2:2" x14ac:dyDescent="0.25">
      <c r="B1601"/>
    </row>
    <row r="1602" spans="2:2" x14ac:dyDescent="0.25">
      <c r="B1602"/>
    </row>
    <row r="1603" spans="2:2" x14ac:dyDescent="0.25">
      <c r="B1603"/>
    </row>
    <row r="1604" spans="2:2" x14ac:dyDescent="0.25">
      <c r="B1604"/>
    </row>
    <row r="1605" spans="2:2" x14ac:dyDescent="0.25">
      <c r="B1605"/>
    </row>
    <row r="1606" spans="2:2" x14ac:dyDescent="0.25">
      <c r="B1606"/>
    </row>
    <row r="1607" spans="2:2" x14ac:dyDescent="0.25">
      <c r="B1607"/>
    </row>
    <row r="1608" spans="2:2" x14ac:dyDescent="0.25">
      <c r="B1608"/>
    </row>
    <row r="1609" spans="2:2" x14ac:dyDescent="0.25">
      <c r="B1609"/>
    </row>
    <row r="1610" spans="2:2" x14ac:dyDescent="0.25">
      <c r="B1610"/>
    </row>
    <row r="1611" spans="2:2" x14ac:dyDescent="0.25">
      <c r="B1611"/>
    </row>
    <row r="1612" spans="2:2" x14ac:dyDescent="0.25">
      <c r="B1612"/>
    </row>
    <row r="1613" spans="2:2" x14ac:dyDescent="0.25">
      <c r="B1613"/>
    </row>
    <row r="1614" spans="2:2" x14ac:dyDescent="0.25">
      <c r="B1614"/>
    </row>
    <row r="1615" spans="2:2" x14ac:dyDescent="0.25">
      <c r="B1615"/>
    </row>
    <row r="1616" spans="2:2" x14ac:dyDescent="0.25">
      <c r="B1616"/>
    </row>
    <row r="1617" spans="2:2" x14ac:dyDescent="0.25">
      <c r="B1617"/>
    </row>
    <row r="1618" spans="2:2" x14ac:dyDescent="0.25">
      <c r="B1618"/>
    </row>
    <row r="1619" spans="2:2" x14ac:dyDescent="0.25">
      <c r="B1619"/>
    </row>
    <row r="1620" spans="2:2" x14ac:dyDescent="0.25">
      <c r="B1620"/>
    </row>
    <row r="1621" spans="2:2" x14ac:dyDescent="0.25">
      <c r="B1621"/>
    </row>
    <row r="1622" spans="2:2" x14ac:dyDescent="0.25">
      <c r="B1622"/>
    </row>
    <row r="1623" spans="2:2" x14ac:dyDescent="0.25">
      <c r="B1623"/>
    </row>
    <row r="1624" spans="2:2" x14ac:dyDescent="0.25">
      <c r="B1624"/>
    </row>
    <row r="1625" spans="2:2" x14ac:dyDescent="0.25">
      <c r="B1625"/>
    </row>
    <row r="1626" spans="2:2" x14ac:dyDescent="0.25">
      <c r="B1626"/>
    </row>
    <row r="1627" spans="2:2" x14ac:dyDescent="0.25">
      <c r="B1627"/>
    </row>
    <row r="1628" spans="2:2" x14ac:dyDescent="0.25">
      <c r="B1628"/>
    </row>
    <row r="1629" spans="2:2" x14ac:dyDescent="0.25">
      <c r="B1629"/>
    </row>
    <row r="1630" spans="2:2" x14ac:dyDescent="0.25">
      <c r="B1630"/>
    </row>
    <row r="1631" spans="2:2" x14ac:dyDescent="0.25">
      <c r="B1631"/>
    </row>
    <row r="1632" spans="2:2" x14ac:dyDescent="0.25">
      <c r="B1632"/>
    </row>
    <row r="1633" spans="2:2" x14ac:dyDescent="0.25">
      <c r="B1633"/>
    </row>
    <row r="1634" spans="2:2" x14ac:dyDescent="0.25">
      <c r="B1634"/>
    </row>
    <row r="1635" spans="2:2" x14ac:dyDescent="0.25">
      <c r="B1635"/>
    </row>
    <row r="1636" spans="2:2" x14ac:dyDescent="0.25">
      <c r="B1636"/>
    </row>
    <row r="1637" spans="2:2" x14ac:dyDescent="0.25">
      <c r="B1637"/>
    </row>
    <row r="1638" spans="2:2" x14ac:dyDescent="0.25">
      <c r="B1638"/>
    </row>
    <row r="1639" spans="2:2" x14ac:dyDescent="0.25">
      <c r="B1639"/>
    </row>
    <row r="1640" spans="2:2" x14ac:dyDescent="0.25">
      <c r="B1640"/>
    </row>
    <row r="1641" spans="2:2" x14ac:dyDescent="0.25">
      <c r="B1641"/>
    </row>
    <row r="1642" spans="2:2" x14ac:dyDescent="0.25">
      <c r="B1642"/>
    </row>
    <row r="1643" spans="2:2" x14ac:dyDescent="0.25">
      <c r="B1643"/>
    </row>
    <row r="1644" spans="2:2" x14ac:dyDescent="0.25">
      <c r="B1644"/>
    </row>
    <row r="1645" spans="2:2" x14ac:dyDescent="0.25">
      <c r="B1645"/>
    </row>
    <row r="1646" spans="2:2" x14ac:dyDescent="0.25">
      <c r="B1646"/>
    </row>
    <row r="1647" spans="2:2" x14ac:dyDescent="0.25">
      <c r="B1647"/>
    </row>
    <row r="1648" spans="2:2" x14ac:dyDescent="0.25">
      <c r="B1648"/>
    </row>
    <row r="1649" spans="2:2" x14ac:dyDescent="0.25">
      <c r="B1649"/>
    </row>
    <row r="1650" spans="2:2" x14ac:dyDescent="0.25">
      <c r="B1650"/>
    </row>
    <row r="1651" spans="2:2" x14ac:dyDescent="0.25">
      <c r="B1651"/>
    </row>
    <row r="1652" spans="2:2" x14ac:dyDescent="0.25">
      <c r="B1652"/>
    </row>
    <row r="1653" spans="2:2" x14ac:dyDescent="0.25">
      <c r="B1653"/>
    </row>
    <row r="1654" spans="2:2" x14ac:dyDescent="0.25">
      <c r="B1654"/>
    </row>
    <row r="1655" spans="2:2" x14ac:dyDescent="0.25">
      <c r="B1655"/>
    </row>
    <row r="1656" spans="2:2" x14ac:dyDescent="0.25">
      <c r="B1656"/>
    </row>
    <row r="1657" spans="2:2" x14ac:dyDescent="0.25">
      <c r="B1657"/>
    </row>
    <row r="1658" spans="2:2" x14ac:dyDescent="0.25">
      <c r="B1658"/>
    </row>
    <row r="1659" spans="2:2" x14ac:dyDescent="0.25">
      <c r="B1659"/>
    </row>
    <row r="1660" spans="2:2" x14ac:dyDescent="0.25">
      <c r="B1660"/>
    </row>
    <row r="1661" spans="2:2" x14ac:dyDescent="0.25">
      <c r="B1661"/>
    </row>
    <row r="1662" spans="2:2" x14ac:dyDescent="0.25">
      <c r="B1662"/>
    </row>
    <row r="1663" spans="2:2" x14ac:dyDescent="0.25">
      <c r="B1663"/>
    </row>
    <row r="1664" spans="2:2" x14ac:dyDescent="0.25">
      <c r="B1664"/>
    </row>
    <row r="1665" spans="2:2" x14ac:dyDescent="0.25">
      <c r="B1665"/>
    </row>
    <row r="1666" spans="2:2" x14ac:dyDescent="0.25">
      <c r="B1666"/>
    </row>
    <row r="1667" spans="2:2" x14ac:dyDescent="0.25">
      <c r="B1667"/>
    </row>
    <row r="1668" spans="2:2" x14ac:dyDescent="0.25">
      <c r="B1668"/>
    </row>
    <row r="1669" spans="2:2" x14ac:dyDescent="0.25">
      <c r="B1669"/>
    </row>
    <row r="1670" spans="2:2" x14ac:dyDescent="0.25">
      <c r="B1670"/>
    </row>
    <row r="1671" spans="2:2" x14ac:dyDescent="0.25">
      <c r="B1671"/>
    </row>
    <row r="1672" spans="2:2" x14ac:dyDescent="0.25">
      <c r="B1672"/>
    </row>
    <row r="1673" spans="2:2" x14ac:dyDescent="0.25">
      <c r="B1673"/>
    </row>
    <row r="1674" spans="2:2" x14ac:dyDescent="0.25">
      <c r="B1674"/>
    </row>
    <row r="1675" spans="2:2" x14ac:dyDescent="0.25">
      <c r="B1675"/>
    </row>
    <row r="1676" spans="2:2" x14ac:dyDescent="0.25">
      <c r="B1676"/>
    </row>
    <row r="1677" spans="2:2" x14ac:dyDescent="0.25">
      <c r="B1677"/>
    </row>
    <row r="1678" spans="2:2" x14ac:dyDescent="0.25">
      <c r="B1678"/>
    </row>
    <row r="1679" spans="2:2" x14ac:dyDescent="0.25">
      <c r="B1679"/>
    </row>
    <row r="1680" spans="2:2" x14ac:dyDescent="0.25">
      <c r="B1680"/>
    </row>
    <row r="1681" spans="2:2" x14ac:dyDescent="0.25">
      <c r="B1681"/>
    </row>
    <row r="1682" spans="2:2" x14ac:dyDescent="0.25">
      <c r="B1682"/>
    </row>
    <row r="1683" spans="2:2" x14ac:dyDescent="0.25">
      <c r="B1683"/>
    </row>
    <row r="1684" spans="2:2" x14ac:dyDescent="0.25">
      <c r="B1684"/>
    </row>
    <row r="1685" spans="2:2" x14ac:dyDescent="0.25">
      <c r="B1685"/>
    </row>
    <row r="1686" spans="2:2" x14ac:dyDescent="0.25">
      <c r="B1686"/>
    </row>
    <row r="1687" spans="2:2" x14ac:dyDescent="0.25">
      <c r="B1687"/>
    </row>
    <row r="1688" spans="2:2" x14ac:dyDescent="0.25">
      <c r="B1688"/>
    </row>
    <row r="1689" spans="2:2" x14ac:dyDescent="0.25">
      <c r="B1689"/>
    </row>
    <row r="1690" spans="2:2" x14ac:dyDescent="0.25">
      <c r="B1690"/>
    </row>
    <row r="1691" spans="2:2" x14ac:dyDescent="0.25">
      <c r="B1691"/>
    </row>
    <row r="1692" spans="2:2" x14ac:dyDescent="0.25">
      <c r="B1692"/>
    </row>
    <row r="1693" spans="2:2" x14ac:dyDescent="0.25">
      <c r="B1693"/>
    </row>
    <row r="1694" spans="2:2" x14ac:dyDescent="0.25">
      <c r="B1694"/>
    </row>
    <row r="1695" spans="2:2" x14ac:dyDescent="0.25">
      <c r="B1695"/>
    </row>
    <row r="1696" spans="2:2" x14ac:dyDescent="0.25">
      <c r="B1696"/>
    </row>
    <row r="1697" spans="2:2" x14ac:dyDescent="0.25">
      <c r="B1697"/>
    </row>
    <row r="1698" spans="2:2" x14ac:dyDescent="0.25">
      <c r="B1698"/>
    </row>
    <row r="1699" spans="2:2" x14ac:dyDescent="0.25">
      <c r="B1699"/>
    </row>
    <row r="1700" spans="2:2" x14ac:dyDescent="0.25">
      <c r="B1700"/>
    </row>
    <row r="1701" spans="2:2" x14ac:dyDescent="0.25">
      <c r="B1701"/>
    </row>
    <row r="1702" spans="2:2" x14ac:dyDescent="0.25">
      <c r="B1702"/>
    </row>
    <row r="1703" spans="2:2" x14ac:dyDescent="0.25">
      <c r="B1703"/>
    </row>
    <row r="1704" spans="2:2" x14ac:dyDescent="0.25">
      <c r="B1704"/>
    </row>
    <row r="1705" spans="2:2" x14ac:dyDescent="0.25">
      <c r="B1705"/>
    </row>
    <row r="1706" spans="2:2" x14ac:dyDescent="0.25">
      <c r="B1706"/>
    </row>
    <row r="1707" spans="2:2" x14ac:dyDescent="0.25">
      <c r="B1707"/>
    </row>
    <row r="1708" spans="2:2" x14ac:dyDescent="0.25">
      <c r="B1708"/>
    </row>
    <row r="1709" spans="2:2" x14ac:dyDescent="0.25">
      <c r="B1709"/>
    </row>
    <row r="1710" spans="2:2" x14ac:dyDescent="0.25">
      <c r="B1710"/>
    </row>
    <row r="1711" spans="2:2" x14ac:dyDescent="0.25">
      <c r="B1711"/>
    </row>
    <row r="1712" spans="2:2" x14ac:dyDescent="0.25">
      <c r="B1712"/>
    </row>
    <row r="1713" spans="2:2" x14ac:dyDescent="0.25">
      <c r="B1713"/>
    </row>
    <row r="1714" spans="2:2" x14ac:dyDescent="0.25">
      <c r="B1714"/>
    </row>
    <row r="1715" spans="2:2" x14ac:dyDescent="0.25">
      <c r="B1715"/>
    </row>
    <row r="1716" spans="2:2" x14ac:dyDescent="0.25">
      <c r="B1716"/>
    </row>
    <row r="1717" spans="2:2" x14ac:dyDescent="0.25">
      <c r="B1717"/>
    </row>
    <row r="1718" spans="2:2" x14ac:dyDescent="0.25">
      <c r="B1718"/>
    </row>
    <row r="1719" spans="2:2" x14ac:dyDescent="0.25">
      <c r="B1719"/>
    </row>
    <row r="1720" spans="2:2" x14ac:dyDescent="0.25">
      <c r="B1720"/>
    </row>
    <row r="1721" spans="2:2" x14ac:dyDescent="0.25">
      <c r="B1721"/>
    </row>
    <row r="1722" spans="2:2" x14ac:dyDescent="0.25">
      <c r="B1722"/>
    </row>
    <row r="1723" spans="2:2" x14ac:dyDescent="0.25">
      <c r="B1723"/>
    </row>
    <row r="1724" spans="2:2" x14ac:dyDescent="0.25">
      <c r="B1724"/>
    </row>
    <row r="1725" spans="2:2" x14ac:dyDescent="0.25">
      <c r="B1725"/>
    </row>
    <row r="1726" spans="2:2" x14ac:dyDescent="0.25">
      <c r="B1726"/>
    </row>
    <row r="1727" spans="2:2" x14ac:dyDescent="0.25">
      <c r="B1727"/>
    </row>
    <row r="1728" spans="2:2" x14ac:dyDescent="0.25">
      <c r="B1728"/>
    </row>
    <row r="1729" spans="2:2" x14ac:dyDescent="0.25">
      <c r="B1729"/>
    </row>
    <row r="1730" spans="2:2" x14ac:dyDescent="0.25">
      <c r="B1730"/>
    </row>
    <row r="1731" spans="2:2" x14ac:dyDescent="0.25">
      <c r="B1731"/>
    </row>
    <row r="1732" spans="2:2" x14ac:dyDescent="0.25">
      <c r="B1732"/>
    </row>
    <row r="1733" spans="2:2" x14ac:dyDescent="0.25">
      <c r="B1733"/>
    </row>
    <row r="1734" spans="2:2" x14ac:dyDescent="0.25">
      <c r="B1734"/>
    </row>
    <row r="1735" spans="2:2" x14ac:dyDescent="0.25">
      <c r="B1735"/>
    </row>
    <row r="1736" spans="2:2" x14ac:dyDescent="0.25">
      <c r="B1736"/>
    </row>
    <row r="1737" spans="2:2" x14ac:dyDescent="0.25">
      <c r="B1737"/>
    </row>
    <row r="1738" spans="2:2" x14ac:dyDescent="0.25">
      <c r="B1738"/>
    </row>
    <row r="1739" spans="2:2" x14ac:dyDescent="0.25">
      <c r="B1739"/>
    </row>
    <row r="1740" spans="2:2" x14ac:dyDescent="0.25">
      <c r="B1740"/>
    </row>
    <row r="1741" spans="2:2" x14ac:dyDescent="0.25">
      <c r="B1741"/>
    </row>
    <row r="1742" spans="2:2" x14ac:dyDescent="0.25">
      <c r="B1742"/>
    </row>
    <row r="1743" spans="2:2" x14ac:dyDescent="0.25">
      <c r="B1743"/>
    </row>
    <row r="1744" spans="2:2" x14ac:dyDescent="0.25">
      <c r="B1744"/>
    </row>
    <row r="1745" spans="2:2" x14ac:dyDescent="0.25">
      <c r="B1745"/>
    </row>
    <row r="1746" spans="2:2" x14ac:dyDescent="0.25">
      <c r="B1746"/>
    </row>
    <row r="1747" spans="2:2" x14ac:dyDescent="0.25">
      <c r="B1747"/>
    </row>
    <row r="1748" spans="2:2" x14ac:dyDescent="0.25">
      <c r="B1748"/>
    </row>
    <row r="1749" spans="2:2" x14ac:dyDescent="0.25">
      <c r="B1749"/>
    </row>
    <row r="1750" spans="2:2" x14ac:dyDescent="0.25">
      <c r="B1750"/>
    </row>
    <row r="1751" spans="2:2" x14ac:dyDescent="0.25">
      <c r="B1751"/>
    </row>
    <row r="1752" spans="2:2" x14ac:dyDescent="0.25">
      <c r="B1752"/>
    </row>
    <row r="1753" spans="2:2" x14ac:dyDescent="0.25">
      <c r="B1753"/>
    </row>
    <row r="1754" spans="2:2" x14ac:dyDescent="0.25">
      <c r="B1754"/>
    </row>
    <row r="1755" spans="2:2" x14ac:dyDescent="0.25">
      <c r="B1755"/>
    </row>
    <row r="1756" spans="2:2" x14ac:dyDescent="0.25">
      <c r="B1756"/>
    </row>
    <row r="1757" spans="2:2" x14ac:dyDescent="0.25">
      <c r="B1757"/>
    </row>
    <row r="1758" spans="2:2" x14ac:dyDescent="0.25">
      <c r="B1758"/>
    </row>
    <row r="1759" spans="2:2" x14ac:dyDescent="0.25">
      <c r="B1759"/>
    </row>
    <row r="1760" spans="2:2" x14ac:dyDescent="0.25">
      <c r="B1760"/>
    </row>
    <row r="1761" spans="2:2" x14ac:dyDescent="0.25">
      <c r="B1761"/>
    </row>
    <row r="1762" spans="2:2" x14ac:dyDescent="0.25">
      <c r="B1762"/>
    </row>
    <row r="1763" spans="2:2" x14ac:dyDescent="0.25">
      <c r="B1763"/>
    </row>
    <row r="1764" spans="2:2" x14ac:dyDescent="0.25">
      <c r="B1764"/>
    </row>
    <row r="1765" spans="2:2" x14ac:dyDescent="0.25">
      <c r="B1765"/>
    </row>
    <row r="1766" spans="2:2" x14ac:dyDescent="0.25">
      <c r="B1766"/>
    </row>
    <row r="1767" spans="2:2" x14ac:dyDescent="0.25">
      <c r="B1767"/>
    </row>
    <row r="1768" spans="2:2" x14ac:dyDescent="0.25">
      <c r="B1768"/>
    </row>
    <row r="1769" spans="2:2" x14ac:dyDescent="0.25">
      <c r="B1769"/>
    </row>
    <row r="1770" spans="2:2" x14ac:dyDescent="0.25">
      <c r="B1770"/>
    </row>
    <row r="1771" spans="2:2" x14ac:dyDescent="0.25">
      <c r="B1771"/>
    </row>
    <row r="1772" spans="2:2" x14ac:dyDescent="0.25">
      <c r="B1772"/>
    </row>
    <row r="1773" spans="2:2" x14ac:dyDescent="0.25">
      <c r="B1773"/>
    </row>
    <row r="1774" spans="2:2" x14ac:dyDescent="0.25">
      <c r="B1774"/>
    </row>
    <row r="1775" spans="2:2" x14ac:dyDescent="0.25">
      <c r="B1775"/>
    </row>
    <row r="1776" spans="2:2" x14ac:dyDescent="0.25">
      <c r="B1776"/>
    </row>
    <row r="1777" spans="2:2" x14ac:dyDescent="0.25">
      <c r="B1777"/>
    </row>
    <row r="1778" spans="2:2" x14ac:dyDescent="0.25">
      <c r="B1778"/>
    </row>
    <row r="1779" spans="2:2" x14ac:dyDescent="0.25">
      <c r="B1779"/>
    </row>
    <row r="1780" spans="2:2" x14ac:dyDescent="0.25">
      <c r="B1780"/>
    </row>
    <row r="1781" spans="2:2" x14ac:dyDescent="0.25">
      <c r="B1781"/>
    </row>
    <row r="1782" spans="2:2" x14ac:dyDescent="0.25">
      <c r="B1782"/>
    </row>
    <row r="1783" spans="2:2" x14ac:dyDescent="0.25">
      <c r="B1783"/>
    </row>
    <row r="1784" spans="2:2" x14ac:dyDescent="0.25">
      <c r="B1784"/>
    </row>
    <row r="1785" spans="2:2" x14ac:dyDescent="0.25">
      <c r="B1785"/>
    </row>
    <row r="1786" spans="2:2" x14ac:dyDescent="0.25">
      <c r="B1786"/>
    </row>
    <row r="1787" spans="2:2" x14ac:dyDescent="0.25">
      <c r="B1787"/>
    </row>
    <row r="1788" spans="2:2" x14ac:dyDescent="0.25">
      <c r="B1788"/>
    </row>
    <row r="1789" spans="2:2" x14ac:dyDescent="0.25">
      <c r="B1789"/>
    </row>
    <row r="1790" spans="2:2" x14ac:dyDescent="0.25">
      <c r="B1790"/>
    </row>
    <row r="1791" spans="2:2" x14ac:dyDescent="0.25">
      <c r="B1791"/>
    </row>
    <row r="1792" spans="2:2" x14ac:dyDescent="0.25">
      <c r="B1792"/>
    </row>
    <row r="1793" spans="2:2" x14ac:dyDescent="0.25">
      <c r="B1793"/>
    </row>
    <row r="1794" spans="2:2" x14ac:dyDescent="0.25">
      <c r="B1794"/>
    </row>
    <row r="1795" spans="2:2" x14ac:dyDescent="0.25">
      <c r="B1795"/>
    </row>
    <row r="1796" spans="2:2" x14ac:dyDescent="0.25">
      <c r="B1796"/>
    </row>
    <row r="1797" spans="2:2" x14ac:dyDescent="0.25">
      <c r="B1797"/>
    </row>
    <row r="1798" spans="2:2" x14ac:dyDescent="0.25">
      <c r="B1798"/>
    </row>
    <row r="1799" spans="2:2" x14ac:dyDescent="0.25">
      <c r="B1799"/>
    </row>
    <row r="1800" spans="2:2" x14ac:dyDescent="0.25">
      <c r="B1800"/>
    </row>
    <row r="1801" spans="2:2" x14ac:dyDescent="0.25">
      <c r="B1801"/>
    </row>
    <row r="1802" spans="2:2" x14ac:dyDescent="0.25">
      <c r="B1802"/>
    </row>
    <row r="1803" spans="2:2" x14ac:dyDescent="0.25">
      <c r="B1803"/>
    </row>
    <row r="1804" spans="2:2" x14ac:dyDescent="0.25">
      <c r="B1804"/>
    </row>
    <row r="1805" spans="2:2" x14ac:dyDescent="0.25">
      <c r="B1805"/>
    </row>
    <row r="1806" spans="2:2" x14ac:dyDescent="0.25">
      <c r="B1806"/>
    </row>
    <row r="1807" spans="2:2" x14ac:dyDescent="0.25">
      <c r="B1807"/>
    </row>
    <row r="1808" spans="2:2" x14ac:dyDescent="0.25">
      <c r="B1808"/>
    </row>
    <row r="1809" spans="2:2" x14ac:dyDescent="0.25">
      <c r="B1809"/>
    </row>
    <row r="1810" spans="2:2" x14ac:dyDescent="0.25">
      <c r="B1810"/>
    </row>
    <row r="1811" spans="2:2" x14ac:dyDescent="0.25">
      <c r="B1811"/>
    </row>
    <row r="1812" spans="2:2" x14ac:dyDescent="0.25">
      <c r="B1812"/>
    </row>
    <row r="1813" spans="2:2" x14ac:dyDescent="0.25">
      <c r="B1813"/>
    </row>
    <row r="1814" spans="2:2" x14ac:dyDescent="0.25">
      <c r="B1814"/>
    </row>
    <row r="1815" spans="2:2" x14ac:dyDescent="0.25">
      <c r="B1815"/>
    </row>
    <row r="1816" spans="2:2" x14ac:dyDescent="0.25">
      <c r="B1816"/>
    </row>
    <row r="1817" spans="2:2" x14ac:dyDescent="0.25">
      <c r="B1817"/>
    </row>
    <row r="1818" spans="2:2" x14ac:dyDescent="0.25">
      <c r="B1818"/>
    </row>
    <row r="1819" spans="2:2" x14ac:dyDescent="0.25">
      <c r="B1819"/>
    </row>
    <row r="1820" spans="2:2" x14ac:dyDescent="0.25">
      <c r="B1820"/>
    </row>
    <row r="1821" spans="2:2" x14ac:dyDescent="0.25">
      <c r="B1821"/>
    </row>
    <row r="1822" spans="2:2" x14ac:dyDescent="0.25">
      <c r="B1822"/>
    </row>
    <row r="1823" spans="2:2" x14ac:dyDescent="0.25">
      <c r="B1823"/>
    </row>
    <row r="1824" spans="2:2" x14ac:dyDescent="0.25">
      <c r="B1824"/>
    </row>
    <row r="1825" spans="2:2" x14ac:dyDescent="0.25">
      <c r="B1825"/>
    </row>
    <row r="1826" spans="2:2" x14ac:dyDescent="0.25">
      <c r="B1826"/>
    </row>
    <row r="1827" spans="2:2" x14ac:dyDescent="0.25">
      <c r="B1827"/>
    </row>
    <row r="1828" spans="2:2" x14ac:dyDescent="0.25">
      <c r="B1828"/>
    </row>
    <row r="1829" spans="2:2" x14ac:dyDescent="0.25">
      <c r="B1829"/>
    </row>
    <row r="1830" spans="2:2" x14ac:dyDescent="0.25">
      <c r="B1830"/>
    </row>
    <row r="1831" spans="2:2" x14ac:dyDescent="0.25">
      <c r="B1831"/>
    </row>
    <row r="1832" spans="2:2" x14ac:dyDescent="0.25">
      <c r="B1832"/>
    </row>
    <row r="1833" spans="2:2" x14ac:dyDescent="0.25">
      <c r="B1833"/>
    </row>
    <row r="1834" spans="2:2" x14ac:dyDescent="0.25">
      <c r="B1834"/>
    </row>
    <row r="1835" spans="2:2" x14ac:dyDescent="0.25">
      <c r="B1835"/>
    </row>
    <row r="1836" spans="2:2" x14ac:dyDescent="0.25">
      <c r="B1836"/>
    </row>
    <row r="1837" spans="2:2" x14ac:dyDescent="0.25">
      <c r="B1837"/>
    </row>
    <row r="1838" spans="2:2" x14ac:dyDescent="0.25">
      <c r="B1838"/>
    </row>
    <row r="1839" spans="2:2" x14ac:dyDescent="0.25">
      <c r="B1839"/>
    </row>
    <row r="1840" spans="2:2" x14ac:dyDescent="0.25">
      <c r="B1840"/>
    </row>
    <row r="1841" spans="2:2" x14ac:dyDescent="0.25">
      <c r="B1841"/>
    </row>
    <row r="1842" spans="2:2" x14ac:dyDescent="0.25">
      <c r="B1842"/>
    </row>
    <row r="1843" spans="2:2" x14ac:dyDescent="0.25">
      <c r="B1843"/>
    </row>
    <row r="1844" spans="2:2" x14ac:dyDescent="0.25">
      <c r="B1844"/>
    </row>
    <row r="1845" spans="2:2" x14ac:dyDescent="0.25">
      <c r="B1845"/>
    </row>
    <row r="1846" spans="2:2" x14ac:dyDescent="0.25">
      <c r="B1846"/>
    </row>
    <row r="1847" spans="2:2" x14ac:dyDescent="0.25">
      <c r="B1847"/>
    </row>
    <row r="1848" spans="2:2" x14ac:dyDescent="0.25">
      <c r="B1848"/>
    </row>
    <row r="1849" spans="2:2" x14ac:dyDescent="0.25">
      <c r="B1849"/>
    </row>
    <row r="1850" spans="2:2" x14ac:dyDescent="0.25">
      <c r="B1850"/>
    </row>
    <row r="1851" spans="2:2" x14ac:dyDescent="0.25">
      <c r="B1851"/>
    </row>
    <row r="1852" spans="2:2" x14ac:dyDescent="0.25">
      <c r="B1852"/>
    </row>
    <row r="1853" spans="2:2" x14ac:dyDescent="0.25">
      <c r="B1853"/>
    </row>
    <row r="1854" spans="2:2" x14ac:dyDescent="0.25">
      <c r="B1854"/>
    </row>
    <row r="1855" spans="2:2" x14ac:dyDescent="0.25">
      <c r="B1855"/>
    </row>
    <row r="1856" spans="2:2" x14ac:dyDescent="0.25">
      <c r="B1856"/>
    </row>
    <row r="1857" spans="2:2" x14ac:dyDescent="0.25">
      <c r="B1857"/>
    </row>
    <row r="1858" spans="2:2" x14ac:dyDescent="0.25">
      <c r="B1858"/>
    </row>
    <row r="1859" spans="2:2" x14ac:dyDescent="0.25">
      <c r="B1859"/>
    </row>
    <row r="1860" spans="2:2" x14ac:dyDescent="0.25">
      <c r="B1860"/>
    </row>
    <row r="1861" spans="2:2" x14ac:dyDescent="0.25">
      <c r="B1861"/>
    </row>
    <row r="1862" spans="2:2" x14ac:dyDescent="0.25">
      <c r="B1862"/>
    </row>
    <row r="1863" spans="2:2" x14ac:dyDescent="0.25">
      <c r="B1863"/>
    </row>
    <row r="1864" spans="2:2" x14ac:dyDescent="0.25">
      <c r="B1864"/>
    </row>
    <row r="1865" spans="2:2" x14ac:dyDescent="0.25">
      <c r="B1865"/>
    </row>
    <row r="1866" spans="2:2" x14ac:dyDescent="0.25">
      <c r="B1866"/>
    </row>
    <row r="1867" spans="2:2" x14ac:dyDescent="0.25">
      <c r="B1867"/>
    </row>
    <row r="1868" spans="2:2" x14ac:dyDescent="0.25">
      <c r="B1868"/>
    </row>
    <row r="1869" spans="2:2" x14ac:dyDescent="0.25">
      <c r="B1869"/>
    </row>
    <row r="1870" spans="2:2" x14ac:dyDescent="0.25">
      <c r="B1870"/>
    </row>
    <row r="1871" spans="2:2" x14ac:dyDescent="0.25">
      <c r="B1871"/>
    </row>
    <row r="1872" spans="2:2" x14ac:dyDescent="0.25">
      <c r="B1872"/>
    </row>
    <row r="1873" spans="2:2" x14ac:dyDescent="0.25">
      <c r="B1873"/>
    </row>
    <row r="1874" spans="2:2" x14ac:dyDescent="0.25">
      <c r="B1874"/>
    </row>
    <row r="1875" spans="2:2" x14ac:dyDescent="0.25">
      <c r="B1875"/>
    </row>
    <row r="1876" spans="2:2" x14ac:dyDescent="0.25">
      <c r="B1876"/>
    </row>
    <row r="1877" spans="2:2" x14ac:dyDescent="0.25">
      <c r="B1877"/>
    </row>
    <row r="1878" spans="2:2" x14ac:dyDescent="0.25">
      <c r="B1878"/>
    </row>
    <row r="1879" spans="2:2" x14ac:dyDescent="0.25">
      <c r="B1879"/>
    </row>
    <row r="1880" spans="2:2" x14ac:dyDescent="0.25">
      <c r="B1880"/>
    </row>
    <row r="1881" spans="2:2" x14ac:dyDescent="0.25">
      <c r="B1881"/>
    </row>
    <row r="1882" spans="2:2" x14ac:dyDescent="0.25">
      <c r="B1882"/>
    </row>
    <row r="1883" spans="2:2" x14ac:dyDescent="0.25">
      <c r="B1883"/>
    </row>
    <row r="1884" spans="2:2" x14ac:dyDescent="0.25">
      <c r="B1884"/>
    </row>
    <row r="1885" spans="2:2" x14ac:dyDescent="0.25">
      <c r="B1885"/>
    </row>
    <row r="1886" spans="2:2" x14ac:dyDescent="0.25">
      <c r="B1886"/>
    </row>
    <row r="1887" spans="2:2" x14ac:dyDescent="0.25">
      <c r="B1887"/>
    </row>
    <row r="1888" spans="2:2" x14ac:dyDescent="0.25">
      <c r="B1888"/>
    </row>
    <row r="1889" spans="2:2" x14ac:dyDescent="0.25">
      <c r="B1889"/>
    </row>
    <row r="1890" spans="2:2" x14ac:dyDescent="0.25">
      <c r="B1890"/>
    </row>
    <row r="1891" spans="2:2" x14ac:dyDescent="0.25">
      <c r="B1891"/>
    </row>
    <row r="1892" spans="2:2" x14ac:dyDescent="0.25">
      <c r="B1892"/>
    </row>
    <row r="1893" spans="2:2" x14ac:dyDescent="0.25">
      <c r="B1893"/>
    </row>
    <row r="1894" spans="2:2" x14ac:dyDescent="0.25">
      <c r="B1894"/>
    </row>
    <row r="1895" spans="2:2" x14ac:dyDescent="0.25">
      <c r="B1895"/>
    </row>
    <row r="1896" spans="2:2" x14ac:dyDescent="0.25">
      <c r="B1896"/>
    </row>
    <row r="1897" spans="2:2" x14ac:dyDescent="0.25">
      <c r="B1897"/>
    </row>
    <row r="1898" spans="2:2" x14ac:dyDescent="0.25">
      <c r="B1898"/>
    </row>
    <row r="1899" spans="2:2" x14ac:dyDescent="0.25">
      <c r="B1899"/>
    </row>
    <row r="1900" spans="2:2" x14ac:dyDescent="0.25">
      <c r="B1900"/>
    </row>
    <row r="1901" spans="2:2" x14ac:dyDescent="0.25">
      <c r="B1901"/>
    </row>
    <row r="1902" spans="2:2" x14ac:dyDescent="0.25">
      <c r="B1902"/>
    </row>
    <row r="1903" spans="2:2" x14ac:dyDescent="0.25">
      <c r="B1903"/>
    </row>
    <row r="1904" spans="2:2" x14ac:dyDescent="0.25">
      <c r="B1904"/>
    </row>
    <row r="1905" spans="2:2" x14ac:dyDescent="0.25">
      <c r="B1905"/>
    </row>
    <row r="1906" spans="2:2" x14ac:dyDescent="0.25">
      <c r="B1906"/>
    </row>
    <row r="1907" spans="2:2" x14ac:dyDescent="0.25">
      <c r="B1907"/>
    </row>
    <row r="1908" spans="2:2" x14ac:dyDescent="0.25">
      <c r="B1908"/>
    </row>
    <row r="1909" spans="2:2" x14ac:dyDescent="0.25">
      <c r="B1909"/>
    </row>
    <row r="1910" spans="2:2" x14ac:dyDescent="0.25">
      <c r="B1910"/>
    </row>
    <row r="1911" spans="2:2" x14ac:dyDescent="0.25">
      <c r="B1911"/>
    </row>
    <row r="1912" spans="2:2" x14ac:dyDescent="0.25">
      <c r="B1912"/>
    </row>
    <row r="1913" spans="2:2" x14ac:dyDescent="0.25">
      <c r="B1913"/>
    </row>
    <row r="1914" spans="2:2" x14ac:dyDescent="0.25">
      <c r="B1914"/>
    </row>
    <row r="1915" spans="2:2" x14ac:dyDescent="0.25">
      <c r="B1915"/>
    </row>
    <row r="1916" spans="2:2" x14ac:dyDescent="0.25">
      <c r="B1916"/>
    </row>
    <row r="1917" spans="2:2" x14ac:dyDescent="0.25">
      <c r="B1917"/>
    </row>
    <row r="1918" spans="2:2" x14ac:dyDescent="0.25">
      <c r="B1918"/>
    </row>
    <row r="1919" spans="2:2" x14ac:dyDescent="0.25">
      <c r="B1919"/>
    </row>
    <row r="1920" spans="2:2" x14ac:dyDescent="0.25">
      <c r="B1920"/>
    </row>
    <row r="1921" spans="2:2" x14ac:dyDescent="0.25">
      <c r="B1921"/>
    </row>
    <row r="1922" spans="2:2" x14ac:dyDescent="0.25">
      <c r="B1922"/>
    </row>
    <row r="1923" spans="2:2" x14ac:dyDescent="0.25">
      <c r="B1923"/>
    </row>
    <row r="1924" spans="2:2" x14ac:dyDescent="0.25">
      <c r="B1924"/>
    </row>
    <row r="1925" spans="2:2" x14ac:dyDescent="0.25">
      <c r="B1925"/>
    </row>
    <row r="1926" spans="2:2" x14ac:dyDescent="0.25">
      <c r="B1926"/>
    </row>
    <row r="1927" spans="2:2" x14ac:dyDescent="0.25">
      <c r="B1927"/>
    </row>
    <row r="1928" spans="2:2" x14ac:dyDescent="0.25">
      <c r="B1928"/>
    </row>
    <row r="1929" spans="2:2" x14ac:dyDescent="0.25">
      <c r="B1929"/>
    </row>
    <row r="1930" spans="2:2" x14ac:dyDescent="0.25">
      <c r="B1930"/>
    </row>
    <row r="1931" spans="2:2" x14ac:dyDescent="0.25">
      <c r="B1931"/>
    </row>
    <row r="1932" spans="2:2" x14ac:dyDescent="0.25">
      <c r="B1932"/>
    </row>
    <row r="1933" spans="2:2" x14ac:dyDescent="0.25">
      <c r="B1933"/>
    </row>
    <row r="1934" spans="2:2" x14ac:dyDescent="0.25">
      <c r="B1934"/>
    </row>
    <row r="1935" spans="2:2" x14ac:dyDescent="0.25">
      <c r="B1935"/>
    </row>
    <row r="1936" spans="2:2" x14ac:dyDescent="0.25">
      <c r="B1936"/>
    </row>
    <row r="1937" spans="2:2" x14ac:dyDescent="0.25">
      <c r="B1937"/>
    </row>
    <row r="1938" spans="2:2" x14ac:dyDescent="0.25">
      <c r="B1938"/>
    </row>
    <row r="1939" spans="2:2" x14ac:dyDescent="0.25">
      <c r="B1939"/>
    </row>
    <row r="1940" spans="2:2" x14ac:dyDescent="0.25">
      <c r="B1940"/>
    </row>
    <row r="1941" spans="2:2" x14ac:dyDescent="0.25">
      <c r="B1941"/>
    </row>
    <row r="1942" spans="2:2" x14ac:dyDescent="0.25">
      <c r="B1942"/>
    </row>
    <row r="1943" spans="2:2" x14ac:dyDescent="0.25">
      <c r="B1943"/>
    </row>
    <row r="1944" spans="2:2" x14ac:dyDescent="0.25">
      <c r="B1944"/>
    </row>
    <row r="1945" spans="2:2" x14ac:dyDescent="0.25">
      <c r="B1945"/>
    </row>
    <row r="1946" spans="2:2" x14ac:dyDescent="0.25">
      <c r="B1946"/>
    </row>
    <row r="1947" spans="2:2" x14ac:dyDescent="0.25">
      <c r="B1947"/>
    </row>
    <row r="1948" spans="2:2" x14ac:dyDescent="0.25">
      <c r="B1948"/>
    </row>
    <row r="1949" spans="2:2" x14ac:dyDescent="0.25">
      <c r="B1949"/>
    </row>
    <row r="1950" spans="2:2" x14ac:dyDescent="0.25">
      <c r="B1950"/>
    </row>
    <row r="1951" spans="2:2" x14ac:dyDescent="0.25">
      <c r="B1951"/>
    </row>
    <row r="1952" spans="2:2" x14ac:dyDescent="0.25">
      <c r="B1952"/>
    </row>
    <row r="1953" spans="2:2" x14ac:dyDescent="0.25">
      <c r="B1953"/>
    </row>
    <row r="1954" spans="2:2" x14ac:dyDescent="0.25">
      <c r="B1954"/>
    </row>
    <row r="1955" spans="2:2" x14ac:dyDescent="0.25">
      <c r="B1955"/>
    </row>
    <row r="1956" spans="2:2" x14ac:dyDescent="0.25">
      <c r="B1956"/>
    </row>
    <row r="1957" spans="2:2" x14ac:dyDescent="0.25">
      <c r="B1957"/>
    </row>
    <row r="1958" spans="2:2" x14ac:dyDescent="0.25">
      <c r="B1958"/>
    </row>
    <row r="1959" spans="2:2" x14ac:dyDescent="0.25">
      <c r="B1959"/>
    </row>
    <row r="1960" spans="2:2" x14ac:dyDescent="0.25">
      <c r="B1960"/>
    </row>
    <row r="1961" spans="2:2" x14ac:dyDescent="0.25">
      <c r="B1961"/>
    </row>
    <row r="1962" spans="2:2" x14ac:dyDescent="0.25">
      <c r="B1962"/>
    </row>
    <row r="1963" spans="2:2" x14ac:dyDescent="0.25">
      <c r="B1963"/>
    </row>
    <row r="1964" spans="2:2" x14ac:dyDescent="0.25">
      <c r="B1964"/>
    </row>
    <row r="1965" spans="2:2" x14ac:dyDescent="0.25">
      <c r="B1965"/>
    </row>
    <row r="1966" spans="2:2" x14ac:dyDescent="0.25">
      <c r="B1966"/>
    </row>
    <row r="1967" spans="2:2" x14ac:dyDescent="0.25">
      <c r="B1967"/>
    </row>
    <row r="1968" spans="2:2" x14ac:dyDescent="0.25">
      <c r="B1968"/>
    </row>
    <row r="1969" spans="2:2" x14ac:dyDescent="0.25">
      <c r="B1969"/>
    </row>
    <row r="1970" spans="2:2" x14ac:dyDescent="0.25">
      <c r="B1970"/>
    </row>
    <row r="1971" spans="2:2" x14ac:dyDescent="0.25">
      <c r="B1971"/>
    </row>
    <row r="1972" spans="2:2" x14ac:dyDescent="0.25">
      <c r="B1972"/>
    </row>
    <row r="1973" spans="2:2" x14ac:dyDescent="0.25">
      <c r="B1973"/>
    </row>
    <row r="1974" spans="2:2" x14ac:dyDescent="0.25">
      <c r="B1974"/>
    </row>
    <row r="1975" spans="2:2" x14ac:dyDescent="0.25">
      <c r="B1975"/>
    </row>
    <row r="1976" spans="2:2" x14ac:dyDescent="0.25">
      <c r="B1976"/>
    </row>
    <row r="1977" spans="2:2" x14ac:dyDescent="0.25">
      <c r="B1977"/>
    </row>
    <row r="1978" spans="2:2" x14ac:dyDescent="0.25">
      <c r="B1978"/>
    </row>
    <row r="1979" spans="2:2" x14ac:dyDescent="0.25">
      <c r="B1979"/>
    </row>
    <row r="1980" spans="2:2" x14ac:dyDescent="0.25">
      <c r="B1980"/>
    </row>
    <row r="1981" spans="2:2" x14ac:dyDescent="0.25">
      <c r="B1981"/>
    </row>
    <row r="1982" spans="2:2" x14ac:dyDescent="0.25">
      <c r="B1982"/>
    </row>
    <row r="1983" spans="2:2" x14ac:dyDescent="0.25">
      <c r="B1983"/>
    </row>
    <row r="1984" spans="2:2" x14ac:dyDescent="0.25">
      <c r="B1984"/>
    </row>
    <row r="1985" spans="2:2" x14ac:dyDescent="0.25">
      <c r="B1985"/>
    </row>
    <row r="1986" spans="2:2" x14ac:dyDescent="0.25">
      <c r="B1986"/>
    </row>
    <row r="1987" spans="2:2" x14ac:dyDescent="0.25">
      <c r="B1987"/>
    </row>
    <row r="1988" spans="2:2" x14ac:dyDescent="0.25">
      <c r="B1988"/>
    </row>
    <row r="1989" spans="2:2" x14ac:dyDescent="0.25">
      <c r="B1989"/>
    </row>
    <row r="1990" spans="2:2" x14ac:dyDescent="0.25">
      <c r="B1990"/>
    </row>
    <row r="1991" spans="2:2" x14ac:dyDescent="0.25">
      <c r="B1991"/>
    </row>
    <row r="1992" spans="2:2" x14ac:dyDescent="0.25">
      <c r="B1992"/>
    </row>
    <row r="1993" spans="2:2" x14ac:dyDescent="0.25">
      <c r="B1993"/>
    </row>
    <row r="1994" spans="2:2" x14ac:dyDescent="0.25">
      <c r="B1994"/>
    </row>
    <row r="1995" spans="2:2" x14ac:dyDescent="0.25">
      <c r="B1995"/>
    </row>
    <row r="1996" spans="2:2" x14ac:dyDescent="0.25">
      <c r="B1996"/>
    </row>
    <row r="1997" spans="2:2" x14ac:dyDescent="0.25">
      <c r="B1997"/>
    </row>
    <row r="1998" spans="2:2" x14ac:dyDescent="0.25">
      <c r="B1998"/>
    </row>
    <row r="1999" spans="2:2" x14ac:dyDescent="0.25">
      <c r="B1999"/>
    </row>
    <row r="2000" spans="2:2" x14ac:dyDescent="0.25">
      <c r="B2000"/>
    </row>
    <row r="2001" spans="2:2" x14ac:dyDescent="0.25">
      <c r="B2001"/>
    </row>
    <row r="2002" spans="2:2" x14ac:dyDescent="0.25">
      <c r="B2002"/>
    </row>
    <row r="2003" spans="2:2" x14ac:dyDescent="0.25">
      <c r="B2003"/>
    </row>
    <row r="2004" spans="2:2" x14ac:dyDescent="0.25">
      <c r="B2004"/>
    </row>
    <row r="2005" spans="2:2" x14ac:dyDescent="0.25">
      <c r="B2005"/>
    </row>
    <row r="2006" spans="2:2" x14ac:dyDescent="0.25">
      <c r="B2006"/>
    </row>
    <row r="2007" spans="2:2" x14ac:dyDescent="0.25">
      <c r="B2007"/>
    </row>
    <row r="2008" spans="2:2" x14ac:dyDescent="0.25">
      <c r="B2008"/>
    </row>
    <row r="2009" spans="2:2" x14ac:dyDescent="0.25">
      <c r="B2009"/>
    </row>
    <row r="2010" spans="2:2" x14ac:dyDescent="0.25">
      <c r="B2010"/>
    </row>
    <row r="2011" spans="2:2" x14ac:dyDescent="0.25">
      <c r="B2011"/>
    </row>
    <row r="2012" spans="2:2" x14ac:dyDescent="0.25">
      <c r="B2012"/>
    </row>
    <row r="2013" spans="2:2" x14ac:dyDescent="0.25">
      <c r="B2013"/>
    </row>
    <row r="2014" spans="2:2" x14ac:dyDescent="0.25">
      <c r="B2014"/>
    </row>
    <row r="2015" spans="2:2" x14ac:dyDescent="0.25">
      <c r="B2015"/>
    </row>
    <row r="2016" spans="2:2" x14ac:dyDescent="0.25">
      <c r="B2016"/>
    </row>
    <row r="2017" spans="2:2" x14ac:dyDescent="0.25">
      <c r="B2017"/>
    </row>
    <row r="2018" spans="2:2" x14ac:dyDescent="0.25">
      <c r="B2018"/>
    </row>
    <row r="2019" spans="2:2" x14ac:dyDescent="0.25">
      <c r="B2019"/>
    </row>
    <row r="2020" spans="2:2" x14ac:dyDescent="0.25">
      <c r="B2020"/>
    </row>
    <row r="2021" spans="2:2" x14ac:dyDescent="0.25">
      <c r="B2021"/>
    </row>
    <row r="2022" spans="2:2" x14ac:dyDescent="0.25">
      <c r="B2022"/>
    </row>
    <row r="2023" spans="2:2" x14ac:dyDescent="0.25">
      <c r="B2023"/>
    </row>
    <row r="2024" spans="2:2" x14ac:dyDescent="0.25">
      <c r="B2024"/>
    </row>
    <row r="2025" spans="2:2" x14ac:dyDescent="0.25">
      <c r="B2025"/>
    </row>
    <row r="2026" spans="2:2" x14ac:dyDescent="0.25">
      <c r="B2026"/>
    </row>
    <row r="2027" spans="2:2" x14ac:dyDescent="0.25">
      <c r="B2027"/>
    </row>
    <row r="2028" spans="2:2" x14ac:dyDescent="0.25">
      <c r="B2028"/>
    </row>
    <row r="2029" spans="2:2" x14ac:dyDescent="0.25">
      <c r="B2029"/>
    </row>
    <row r="2030" spans="2:2" x14ac:dyDescent="0.25">
      <c r="B2030"/>
    </row>
    <row r="2031" spans="2:2" x14ac:dyDescent="0.25">
      <c r="B2031"/>
    </row>
    <row r="2032" spans="2:2" x14ac:dyDescent="0.25">
      <c r="B2032"/>
    </row>
    <row r="2033" spans="2:2" x14ac:dyDescent="0.25">
      <c r="B2033"/>
    </row>
    <row r="2034" spans="2:2" x14ac:dyDescent="0.25">
      <c r="B2034"/>
    </row>
    <row r="2035" spans="2:2" x14ac:dyDescent="0.25">
      <c r="B2035"/>
    </row>
    <row r="2036" spans="2:2" x14ac:dyDescent="0.25">
      <c r="B2036"/>
    </row>
    <row r="2037" spans="2:2" x14ac:dyDescent="0.25">
      <c r="B2037"/>
    </row>
    <row r="2038" spans="2:2" x14ac:dyDescent="0.25">
      <c r="B2038"/>
    </row>
    <row r="2039" spans="2:2" x14ac:dyDescent="0.25">
      <c r="B2039"/>
    </row>
    <row r="2040" spans="2:2" x14ac:dyDescent="0.25">
      <c r="B2040"/>
    </row>
    <row r="2041" spans="2:2" x14ac:dyDescent="0.25">
      <c r="B2041"/>
    </row>
    <row r="2042" spans="2:2" x14ac:dyDescent="0.25">
      <c r="B2042"/>
    </row>
    <row r="2043" spans="2:2" x14ac:dyDescent="0.25">
      <c r="B2043"/>
    </row>
    <row r="2044" spans="2:2" x14ac:dyDescent="0.25">
      <c r="B2044"/>
    </row>
    <row r="2045" spans="2:2" x14ac:dyDescent="0.25">
      <c r="B2045"/>
    </row>
    <row r="2046" spans="2:2" x14ac:dyDescent="0.25">
      <c r="B2046"/>
    </row>
    <row r="2047" spans="2:2" x14ac:dyDescent="0.25">
      <c r="B2047"/>
    </row>
    <row r="2048" spans="2:2" x14ac:dyDescent="0.25">
      <c r="B2048"/>
    </row>
    <row r="2049" spans="2:2" x14ac:dyDescent="0.25">
      <c r="B2049"/>
    </row>
    <row r="2050" spans="2:2" x14ac:dyDescent="0.25">
      <c r="B2050"/>
    </row>
    <row r="2051" spans="2:2" x14ac:dyDescent="0.25">
      <c r="B2051"/>
    </row>
    <row r="2052" spans="2:2" x14ac:dyDescent="0.25">
      <c r="B2052"/>
    </row>
    <row r="2053" spans="2:2" x14ac:dyDescent="0.25">
      <c r="B2053"/>
    </row>
    <row r="2054" spans="2:2" x14ac:dyDescent="0.25">
      <c r="B2054"/>
    </row>
    <row r="2055" spans="2:2" x14ac:dyDescent="0.25">
      <c r="B2055"/>
    </row>
    <row r="2056" spans="2:2" x14ac:dyDescent="0.25">
      <c r="B2056"/>
    </row>
    <row r="2057" spans="2:2" x14ac:dyDescent="0.25">
      <c r="B2057"/>
    </row>
    <row r="2058" spans="2:2" x14ac:dyDescent="0.25">
      <c r="B2058"/>
    </row>
    <row r="2059" spans="2:2" x14ac:dyDescent="0.25">
      <c r="B2059"/>
    </row>
    <row r="2060" spans="2:2" x14ac:dyDescent="0.25">
      <c r="B2060"/>
    </row>
    <row r="2061" spans="2:2" x14ac:dyDescent="0.25">
      <c r="B2061"/>
    </row>
    <row r="2062" spans="2:2" x14ac:dyDescent="0.25">
      <c r="B2062"/>
    </row>
    <row r="2063" spans="2:2" x14ac:dyDescent="0.25">
      <c r="B2063"/>
    </row>
    <row r="2064" spans="2:2" x14ac:dyDescent="0.25">
      <c r="B2064"/>
    </row>
    <row r="2065" spans="2:2" x14ac:dyDescent="0.25">
      <c r="B2065"/>
    </row>
    <row r="2066" spans="2:2" x14ac:dyDescent="0.25">
      <c r="B2066"/>
    </row>
    <row r="2067" spans="2:2" x14ac:dyDescent="0.25">
      <c r="B2067"/>
    </row>
    <row r="2068" spans="2:2" x14ac:dyDescent="0.25">
      <c r="B2068"/>
    </row>
    <row r="2069" spans="2:2" x14ac:dyDescent="0.25">
      <c r="B2069"/>
    </row>
    <row r="2070" spans="2:2" x14ac:dyDescent="0.25">
      <c r="B2070"/>
    </row>
    <row r="2071" spans="2:2" x14ac:dyDescent="0.25">
      <c r="B2071"/>
    </row>
    <row r="2072" spans="2:2" x14ac:dyDescent="0.25">
      <c r="B2072"/>
    </row>
    <row r="2073" spans="2:2" x14ac:dyDescent="0.25">
      <c r="B2073"/>
    </row>
    <row r="2074" spans="2:2" x14ac:dyDescent="0.25">
      <c r="B2074"/>
    </row>
    <row r="2075" spans="2:2" x14ac:dyDescent="0.25">
      <c r="B2075"/>
    </row>
    <row r="2076" spans="2:2" x14ac:dyDescent="0.25">
      <c r="B2076"/>
    </row>
    <row r="2077" spans="2:2" x14ac:dyDescent="0.25">
      <c r="B2077"/>
    </row>
    <row r="2078" spans="2:2" x14ac:dyDescent="0.25">
      <c r="B2078"/>
    </row>
    <row r="2079" spans="2:2" x14ac:dyDescent="0.25">
      <c r="B2079"/>
    </row>
    <row r="2080" spans="2:2" x14ac:dyDescent="0.25">
      <c r="B2080"/>
    </row>
    <row r="2081" spans="2:2" x14ac:dyDescent="0.25">
      <c r="B2081"/>
    </row>
    <row r="2082" spans="2:2" x14ac:dyDescent="0.25">
      <c r="B2082"/>
    </row>
    <row r="2083" spans="2:2" x14ac:dyDescent="0.25">
      <c r="B2083"/>
    </row>
    <row r="2084" spans="2:2" x14ac:dyDescent="0.25">
      <c r="B2084"/>
    </row>
    <row r="2085" spans="2:2" x14ac:dyDescent="0.25">
      <c r="B2085"/>
    </row>
    <row r="2086" spans="2:2" x14ac:dyDescent="0.25">
      <c r="B2086"/>
    </row>
    <row r="2087" spans="2:2" x14ac:dyDescent="0.25">
      <c r="B2087"/>
    </row>
    <row r="2088" spans="2:2" x14ac:dyDescent="0.25">
      <c r="B2088"/>
    </row>
    <row r="2089" spans="2:2" x14ac:dyDescent="0.25">
      <c r="B2089"/>
    </row>
    <row r="2090" spans="2:2" x14ac:dyDescent="0.25">
      <c r="B2090"/>
    </row>
    <row r="2091" spans="2:2" x14ac:dyDescent="0.25">
      <c r="B2091"/>
    </row>
    <row r="2092" spans="2:2" x14ac:dyDescent="0.25">
      <c r="B2092"/>
    </row>
    <row r="2093" spans="2:2" x14ac:dyDescent="0.25">
      <c r="B2093"/>
    </row>
    <row r="2094" spans="2:2" x14ac:dyDescent="0.25">
      <c r="B2094"/>
    </row>
    <row r="2095" spans="2:2" x14ac:dyDescent="0.25">
      <c r="B2095"/>
    </row>
    <row r="2096" spans="2:2" x14ac:dyDescent="0.25">
      <c r="B2096"/>
    </row>
    <row r="2097" spans="2:2" x14ac:dyDescent="0.25">
      <c r="B2097"/>
    </row>
    <row r="2098" spans="2:2" x14ac:dyDescent="0.25">
      <c r="B2098"/>
    </row>
    <row r="2099" spans="2:2" x14ac:dyDescent="0.25">
      <c r="B2099"/>
    </row>
    <row r="2100" spans="2:2" x14ac:dyDescent="0.25">
      <c r="B2100"/>
    </row>
    <row r="2101" spans="2:2" x14ac:dyDescent="0.25">
      <c r="B2101"/>
    </row>
    <row r="2102" spans="2:2" x14ac:dyDescent="0.25">
      <c r="B2102"/>
    </row>
    <row r="2103" spans="2:2" x14ac:dyDescent="0.25">
      <c r="B2103"/>
    </row>
    <row r="2104" spans="2:2" x14ac:dyDescent="0.25">
      <c r="B2104"/>
    </row>
    <row r="2105" spans="2:2" x14ac:dyDescent="0.25">
      <c r="B2105"/>
    </row>
    <row r="2106" spans="2:2" x14ac:dyDescent="0.25">
      <c r="B2106"/>
    </row>
    <row r="2107" spans="2:2" x14ac:dyDescent="0.25">
      <c r="B2107"/>
    </row>
    <row r="2108" spans="2:2" x14ac:dyDescent="0.25">
      <c r="B2108"/>
    </row>
    <row r="2109" spans="2:2" x14ac:dyDescent="0.25">
      <c r="B2109"/>
    </row>
    <row r="2110" spans="2:2" x14ac:dyDescent="0.25">
      <c r="B2110"/>
    </row>
    <row r="2111" spans="2:2" x14ac:dyDescent="0.25">
      <c r="B2111"/>
    </row>
    <row r="2112" spans="2:2" x14ac:dyDescent="0.25">
      <c r="B2112"/>
    </row>
    <row r="2113" spans="2:2" x14ac:dyDescent="0.25">
      <c r="B2113"/>
    </row>
    <row r="2114" spans="2:2" x14ac:dyDescent="0.25">
      <c r="B2114"/>
    </row>
    <row r="2115" spans="2:2" x14ac:dyDescent="0.25">
      <c r="B2115"/>
    </row>
    <row r="2116" spans="2:2" x14ac:dyDescent="0.25">
      <c r="B2116"/>
    </row>
    <row r="2117" spans="2:2" x14ac:dyDescent="0.25">
      <c r="B2117"/>
    </row>
    <row r="2118" spans="2:2" x14ac:dyDescent="0.25">
      <c r="B2118"/>
    </row>
    <row r="2119" spans="2:2" x14ac:dyDescent="0.25">
      <c r="B2119"/>
    </row>
    <row r="2120" spans="2:2" x14ac:dyDescent="0.25">
      <c r="B2120"/>
    </row>
    <row r="2121" spans="2:2" x14ac:dyDescent="0.25">
      <c r="B2121"/>
    </row>
    <row r="2122" spans="2:2" x14ac:dyDescent="0.25">
      <c r="B2122"/>
    </row>
    <row r="2123" spans="2:2" x14ac:dyDescent="0.25">
      <c r="B2123"/>
    </row>
    <row r="2124" spans="2:2" x14ac:dyDescent="0.25">
      <c r="B2124"/>
    </row>
    <row r="2125" spans="2:2" x14ac:dyDescent="0.25">
      <c r="B2125"/>
    </row>
    <row r="2126" spans="2:2" x14ac:dyDescent="0.25">
      <c r="B2126"/>
    </row>
    <row r="2127" spans="2:2" x14ac:dyDescent="0.25">
      <c r="B2127"/>
    </row>
    <row r="2128" spans="2:2" x14ac:dyDescent="0.25">
      <c r="B2128"/>
    </row>
    <row r="2129" spans="2:2" x14ac:dyDescent="0.25">
      <c r="B2129"/>
    </row>
    <row r="2130" spans="2:2" x14ac:dyDescent="0.25">
      <c r="B2130"/>
    </row>
    <row r="2131" spans="2:2" x14ac:dyDescent="0.25">
      <c r="B2131"/>
    </row>
    <row r="2132" spans="2:2" x14ac:dyDescent="0.25">
      <c r="B2132"/>
    </row>
    <row r="2133" spans="2:2" x14ac:dyDescent="0.25">
      <c r="B2133"/>
    </row>
    <row r="2134" spans="2:2" x14ac:dyDescent="0.25">
      <c r="B2134"/>
    </row>
    <row r="2135" spans="2:2" x14ac:dyDescent="0.25">
      <c r="B2135"/>
    </row>
    <row r="2136" spans="2:2" x14ac:dyDescent="0.25">
      <c r="B2136"/>
    </row>
    <row r="2137" spans="2:2" x14ac:dyDescent="0.25">
      <c r="B2137"/>
    </row>
    <row r="2138" spans="2:2" x14ac:dyDescent="0.25">
      <c r="B2138"/>
    </row>
    <row r="2139" spans="2:2" x14ac:dyDescent="0.25">
      <c r="B2139"/>
    </row>
    <row r="2140" spans="2:2" x14ac:dyDescent="0.25">
      <c r="B2140"/>
    </row>
    <row r="2141" spans="2:2" x14ac:dyDescent="0.25">
      <c r="B2141"/>
    </row>
    <row r="2142" spans="2:2" x14ac:dyDescent="0.25">
      <c r="B2142"/>
    </row>
    <row r="2143" spans="2:2" x14ac:dyDescent="0.25">
      <c r="B2143"/>
    </row>
    <row r="2144" spans="2:2" x14ac:dyDescent="0.25">
      <c r="B2144"/>
    </row>
    <row r="2145" spans="2:2" x14ac:dyDescent="0.25">
      <c r="B2145"/>
    </row>
    <row r="2146" spans="2:2" x14ac:dyDescent="0.25">
      <c r="B2146"/>
    </row>
    <row r="2147" spans="2:2" x14ac:dyDescent="0.25">
      <c r="B2147"/>
    </row>
    <row r="2148" spans="2:2" x14ac:dyDescent="0.25">
      <c r="B2148"/>
    </row>
    <row r="2149" spans="2:2" x14ac:dyDescent="0.25">
      <c r="B2149"/>
    </row>
    <row r="2150" spans="2:2" x14ac:dyDescent="0.25">
      <c r="B2150"/>
    </row>
    <row r="2151" spans="2:2" x14ac:dyDescent="0.25">
      <c r="B2151"/>
    </row>
    <row r="2152" spans="2:2" x14ac:dyDescent="0.25">
      <c r="B2152"/>
    </row>
    <row r="2153" spans="2:2" x14ac:dyDescent="0.25">
      <c r="B2153"/>
    </row>
    <row r="2154" spans="2:2" x14ac:dyDescent="0.25">
      <c r="B2154"/>
    </row>
    <row r="2155" spans="2:2" x14ac:dyDescent="0.25">
      <c r="B2155"/>
    </row>
    <row r="2156" spans="2:2" x14ac:dyDescent="0.25">
      <c r="B2156"/>
    </row>
    <row r="2157" spans="2:2" x14ac:dyDescent="0.25">
      <c r="B2157"/>
    </row>
    <row r="2158" spans="2:2" x14ac:dyDescent="0.25">
      <c r="B2158"/>
    </row>
    <row r="2159" spans="2:2" x14ac:dyDescent="0.25">
      <c r="B2159"/>
    </row>
    <row r="2160" spans="2:2" x14ac:dyDescent="0.25">
      <c r="B2160"/>
    </row>
    <row r="2161" spans="2:2" x14ac:dyDescent="0.25">
      <c r="B2161"/>
    </row>
    <row r="2162" spans="2:2" x14ac:dyDescent="0.25">
      <c r="B2162"/>
    </row>
    <row r="2163" spans="2:2" x14ac:dyDescent="0.25">
      <c r="B2163"/>
    </row>
    <row r="2164" spans="2:2" x14ac:dyDescent="0.25">
      <c r="B2164"/>
    </row>
    <row r="2165" spans="2:2" x14ac:dyDescent="0.25">
      <c r="B2165"/>
    </row>
    <row r="2166" spans="2:2" x14ac:dyDescent="0.25">
      <c r="B2166"/>
    </row>
    <row r="2167" spans="2:2" x14ac:dyDescent="0.25">
      <c r="B2167"/>
    </row>
    <row r="2168" spans="2:2" x14ac:dyDescent="0.25">
      <c r="B2168"/>
    </row>
    <row r="2169" spans="2:2" x14ac:dyDescent="0.25">
      <c r="B2169"/>
    </row>
    <row r="2170" spans="2:2" x14ac:dyDescent="0.25">
      <c r="B2170"/>
    </row>
    <row r="2171" spans="2:2" x14ac:dyDescent="0.25">
      <c r="B2171"/>
    </row>
    <row r="2172" spans="2:2" x14ac:dyDescent="0.25">
      <c r="B2172"/>
    </row>
    <row r="2173" spans="2:2" x14ac:dyDescent="0.25">
      <c r="B2173"/>
    </row>
    <row r="2174" spans="2:2" x14ac:dyDescent="0.25">
      <c r="B2174"/>
    </row>
    <row r="2175" spans="2:2" x14ac:dyDescent="0.25">
      <c r="B2175"/>
    </row>
    <row r="2176" spans="2:2" x14ac:dyDescent="0.25">
      <c r="B2176"/>
    </row>
    <row r="2177" spans="2:2" x14ac:dyDescent="0.25">
      <c r="B2177"/>
    </row>
    <row r="2178" spans="2:2" x14ac:dyDescent="0.25">
      <c r="B2178"/>
    </row>
    <row r="2179" spans="2:2" x14ac:dyDescent="0.25">
      <c r="B2179"/>
    </row>
    <row r="2180" spans="2:2" x14ac:dyDescent="0.25">
      <c r="B2180"/>
    </row>
    <row r="2181" spans="2:2" x14ac:dyDescent="0.25">
      <c r="B2181"/>
    </row>
    <row r="2182" spans="2:2" x14ac:dyDescent="0.25">
      <c r="B2182"/>
    </row>
    <row r="2183" spans="2:2" x14ac:dyDescent="0.25">
      <c r="B2183"/>
    </row>
    <row r="2184" spans="2:2" x14ac:dyDescent="0.25">
      <c r="B2184"/>
    </row>
    <row r="2185" spans="2:2" x14ac:dyDescent="0.25">
      <c r="B2185"/>
    </row>
    <row r="2186" spans="2:2" x14ac:dyDescent="0.25">
      <c r="B2186"/>
    </row>
    <row r="2187" spans="2:2" x14ac:dyDescent="0.25">
      <c r="B2187"/>
    </row>
    <row r="2188" spans="2:2" x14ac:dyDescent="0.25">
      <c r="B2188"/>
    </row>
    <row r="2189" spans="2:2" x14ac:dyDescent="0.25">
      <c r="B2189"/>
    </row>
    <row r="2190" spans="2:2" x14ac:dyDescent="0.25">
      <c r="B2190"/>
    </row>
    <row r="2191" spans="2:2" x14ac:dyDescent="0.25">
      <c r="B2191"/>
    </row>
    <row r="2192" spans="2:2" x14ac:dyDescent="0.25">
      <c r="B2192"/>
    </row>
    <row r="2193" spans="2:2" x14ac:dyDescent="0.25">
      <c r="B2193"/>
    </row>
    <row r="2194" spans="2:2" x14ac:dyDescent="0.25">
      <c r="B2194"/>
    </row>
    <row r="2195" spans="2:2" x14ac:dyDescent="0.25">
      <c r="B2195"/>
    </row>
    <row r="2196" spans="2:2" x14ac:dyDescent="0.25">
      <c r="B2196"/>
    </row>
    <row r="2197" spans="2:2" x14ac:dyDescent="0.25">
      <c r="B2197"/>
    </row>
    <row r="2198" spans="2:2" x14ac:dyDescent="0.25">
      <c r="B2198"/>
    </row>
    <row r="2199" spans="2:2" x14ac:dyDescent="0.25">
      <c r="B2199"/>
    </row>
    <row r="2200" spans="2:2" x14ac:dyDescent="0.25">
      <c r="B2200"/>
    </row>
    <row r="2201" spans="2:2" x14ac:dyDescent="0.25">
      <c r="B2201"/>
    </row>
    <row r="2202" spans="2:2" x14ac:dyDescent="0.25">
      <c r="B2202"/>
    </row>
    <row r="2203" spans="2:2" x14ac:dyDescent="0.25">
      <c r="B2203"/>
    </row>
    <row r="2204" spans="2:2" x14ac:dyDescent="0.25">
      <c r="B2204"/>
    </row>
    <row r="2205" spans="2:2" x14ac:dyDescent="0.25">
      <c r="B2205"/>
    </row>
    <row r="2206" spans="2:2" x14ac:dyDescent="0.25">
      <c r="B2206"/>
    </row>
    <row r="2207" spans="2:2" x14ac:dyDescent="0.25">
      <c r="B2207"/>
    </row>
    <row r="2208" spans="2:2" x14ac:dyDescent="0.25">
      <c r="B2208"/>
    </row>
    <row r="2209" spans="2:2" x14ac:dyDescent="0.25">
      <c r="B2209"/>
    </row>
    <row r="2210" spans="2:2" x14ac:dyDescent="0.25">
      <c r="B2210"/>
    </row>
    <row r="2211" spans="2:2" x14ac:dyDescent="0.25">
      <c r="B2211"/>
    </row>
    <row r="2212" spans="2:2" x14ac:dyDescent="0.25">
      <c r="B2212"/>
    </row>
    <row r="2213" spans="2:2" x14ac:dyDescent="0.25">
      <c r="B2213"/>
    </row>
    <row r="2214" spans="2:2" x14ac:dyDescent="0.25">
      <c r="B2214"/>
    </row>
    <row r="2215" spans="2:2" x14ac:dyDescent="0.25">
      <c r="B2215"/>
    </row>
    <row r="2216" spans="2:2" x14ac:dyDescent="0.25">
      <c r="B2216"/>
    </row>
    <row r="2217" spans="2:2" x14ac:dyDescent="0.25">
      <c r="B2217"/>
    </row>
    <row r="2218" spans="2:2" x14ac:dyDescent="0.25">
      <c r="B2218"/>
    </row>
    <row r="2219" spans="2:2" x14ac:dyDescent="0.25">
      <c r="B2219"/>
    </row>
    <row r="2220" spans="2:2" x14ac:dyDescent="0.25">
      <c r="B2220"/>
    </row>
    <row r="2221" spans="2:2" x14ac:dyDescent="0.25">
      <c r="B2221"/>
    </row>
    <row r="2222" spans="2:2" x14ac:dyDescent="0.25">
      <c r="B2222"/>
    </row>
    <row r="2223" spans="2:2" x14ac:dyDescent="0.25">
      <c r="B2223"/>
    </row>
    <row r="2224" spans="2:2" x14ac:dyDescent="0.25">
      <c r="B2224"/>
    </row>
    <row r="2225" spans="2:2" x14ac:dyDescent="0.25">
      <c r="B2225"/>
    </row>
    <row r="2226" spans="2:2" x14ac:dyDescent="0.25">
      <c r="B2226"/>
    </row>
    <row r="2227" spans="2:2" x14ac:dyDescent="0.25">
      <c r="B2227"/>
    </row>
    <row r="2228" spans="2:2" x14ac:dyDescent="0.25">
      <c r="B2228"/>
    </row>
    <row r="2229" spans="2:2" x14ac:dyDescent="0.25">
      <c r="B2229"/>
    </row>
    <row r="2230" spans="2:2" x14ac:dyDescent="0.25">
      <c r="B2230"/>
    </row>
    <row r="2231" spans="2:2" x14ac:dyDescent="0.25">
      <c r="B2231"/>
    </row>
    <row r="2232" spans="2:2" x14ac:dyDescent="0.25">
      <c r="B2232"/>
    </row>
    <row r="2233" spans="2:2" x14ac:dyDescent="0.25">
      <c r="B2233"/>
    </row>
    <row r="2234" spans="2:2" x14ac:dyDescent="0.25">
      <c r="B2234"/>
    </row>
    <row r="2235" spans="2:2" x14ac:dyDescent="0.25">
      <c r="B2235"/>
    </row>
    <row r="2236" spans="2:2" x14ac:dyDescent="0.25">
      <c r="B2236"/>
    </row>
    <row r="2237" spans="2:2" x14ac:dyDescent="0.25">
      <c r="B2237"/>
    </row>
    <row r="2238" spans="2:2" x14ac:dyDescent="0.25">
      <c r="B2238"/>
    </row>
    <row r="2239" spans="2:2" x14ac:dyDescent="0.25">
      <c r="B2239"/>
    </row>
    <row r="2240" spans="2:2" x14ac:dyDescent="0.25">
      <c r="B2240"/>
    </row>
    <row r="2241" spans="2:2" x14ac:dyDescent="0.25">
      <c r="B2241"/>
    </row>
    <row r="2242" spans="2:2" x14ac:dyDescent="0.25">
      <c r="B2242"/>
    </row>
    <row r="2243" spans="2:2" x14ac:dyDescent="0.25">
      <c r="B2243"/>
    </row>
    <row r="2244" spans="2:2" x14ac:dyDescent="0.25">
      <c r="B2244"/>
    </row>
    <row r="2245" spans="2:2" x14ac:dyDescent="0.25">
      <c r="B2245"/>
    </row>
    <row r="2246" spans="2:2" x14ac:dyDescent="0.25">
      <c r="B2246"/>
    </row>
    <row r="2247" spans="2:2" x14ac:dyDescent="0.25">
      <c r="B2247"/>
    </row>
    <row r="2248" spans="2:2" x14ac:dyDescent="0.25">
      <c r="B2248"/>
    </row>
    <row r="2249" spans="2:2" x14ac:dyDescent="0.25">
      <c r="B2249"/>
    </row>
    <row r="2250" spans="2:2" x14ac:dyDescent="0.25">
      <c r="B2250"/>
    </row>
    <row r="2251" spans="2:2" x14ac:dyDescent="0.25">
      <c r="B2251"/>
    </row>
    <row r="2252" spans="2:2" x14ac:dyDescent="0.25">
      <c r="B2252"/>
    </row>
    <row r="2253" spans="2:2" x14ac:dyDescent="0.25">
      <c r="B2253"/>
    </row>
    <row r="2254" spans="2:2" x14ac:dyDescent="0.25">
      <c r="B2254"/>
    </row>
    <row r="2255" spans="2:2" x14ac:dyDescent="0.25">
      <c r="B2255"/>
    </row>
    <row r="2256" spans="2:2" x14ac:dyDescent="0.25">
      <c r="B2256"/>
    </row>
    <row r="2257" spans="2:2" x14ac:dyDescent="0.25">
      <c r="B2257"/>
    </row>
    <row r="2258" spans="2:2" x14ac:dyDescent="0.25">
      <c r="B2258"/>
    </row>
    <row r="2259" spans="2:2" x14ac:dyDescent="0.25">
      <c r="B2259"/>
    </row>
    <row r="2260" spans="2:2" x14ac:dyDescent="0.25">
      <c r="B2260"/>
    </row>
    <row r="2261" spans="2:2" x14ac:dyDescent="0.25">
      <c r="B2261"/>
    </row>
    <row r="2262" spans="2:2" x14ac:dyDescent="0.25">
      <c r="B2262"/>
    </row>
    <row r="2263" spans="2:2" x14ac:dyDescent="0.25">
      <c r="B2263"/>
    </row>
    <row r="2264" spans="2:2" x14ac:dyDescent="0.25">
      <c r="B2264"/>
    </row>
    <row r="2265" spans="2:2" x14ac:dyDescent="0.25">
      <c r="B2265"/>
    </row>
    <row r="2266" spans="2:2" x14ac:dyDescent="0.25">
      <c r="B2266"/>
    </row>
    <row r="2267" spans="2:2" x14ac:dyDescent="0.25">
      <c r="B2267"/>
    </row>
    <row r="2268" spans="2:2" x14ac:dyDescent="0.25">
      <c r="B2268"/>
    </row>
    <row r="2269" spans="2:2" x14ac:dyDescent="0.25">
      <c r="B2269"/>
    </row>
    <row r="2270" spans="2:2" x14ac:dyDescent="0.25">
      <c r="B2270"/>
    </row>
    <row r="2271" spans="2:2" x14ac:dyDescent="0.25">
      <c r="B2271"/>
    </row>
    <row r="2272" spans="2:2" x14ac:dyDescent="0.25">
      <c r="B2272"/>
    </row>
    <row r="2273" spans="2:2" x14ac:dyDescent="0.25">
      <c r="B2273"/>
    </row>
    <row r="2274" spans="2:2" x14ac:dyDescent="0.25">
      <c r="B2274"/>
    </row>
    <row r="2275" spans="2:2" x14ac:dyDescent="0.25">
      <c r="B2275"/>
    </row>
    <row r="2276" spans="2:2" x14ac:dyDescent="0.25">
      <c r="B2276"/>
    </row>
    <row r="2277" spans="2:2" x14ac:dyDescent="0.25">
      <c r="B2277"/>
    </row>
    <row r="2278" spans="2:2" x14ac:dyDescent="0.25">
      <c r="B2278"/>
    </row>
    <row r="2279" spans="2:2" x14ac:dyDescent="0.25">
      <c r="B2279"/>
    </row>
    <row r="2280" spans="2:2" x14ac:dyDescent="0.25">
      <c r="B2280"/>
    </row>
    <row r="2281" spans="2:2" x14ac:dyDescent="0.25">
      <c r="B2281"/>
    </row>
    <row r="2282" spans="2:2" x14ac:dyDescent="0.25">
      <c r="B2282"/>
    </row>
    <row r="2283" spans="2:2" x14ac:dyDescent="0.25">
      <c r="B2283"/>
    </row>
    <row r="2284" spans="2:2" x14ac:dyDescent="0.25">
      <c r="B2284"/>
    </row>
    <row r="2285" spans="2:2" x14ac:dyDescent="0.25">
      <c r="B2285"/>
    </row>
    <row r="2286" spans="2:2" x14ac:dyDescent="0.25">
      <c r="B2286"/>
    </row>
    <row r="2287" spans="2:2" x14ac:dyDescent="0.25">
      <c r="B2287"/>
    </row>
    <row r="2288" spans="2:2" x14ac:dyDescent="0.25">
      <c r="B2288"/>
    </row>
    <row r="2289" spans="2:2" x14ac:dyDescent="0.25">
      <c r="B2289"/>
    </row>
    <row r="2290" spans="2:2" x14ac:dyDescent="0.25">
      <c r="B2290"/>
    </row>
    <row r="2291" spans="2:2" x14ac:dyDescent="0.25">
      <c r="B2291"/>
    </row>
    <row r="2292" spans="2:2" x14ac:dyDescent="0.25">
      <c r="B2292"/>
    </row>
    <row r="2293" spans="2:2" x14ac:dyDescent="0.25">
      <c r="B2293"/>
    </row>
    <row r="2294" spans="2:2" x14ac:dyDescent="0.25">
      <c r="B2294"/>
    </row>
    <row r="2295" spans="2:2" x14ac:dyDescent="0.25">
      <c r="B2295"/>
    </row>
    <row r="2296" spans="2:2" x14ac:dyDescent="0.25">
      <c r="B2296"/>
    </row>
    <row r="2297" spans="2:2" x14ac:dyDescent="0.25">
      <c r="B2297"/>
    </row>
    <row r="2298" spans="2:2" x14ac:dyDescent="0.25">
      <c r="B2298"/>
    </row>
    <row r="2299" spans="2:2" x14ac:dyDescent="0.25">
      <c r="B2299"/>
    </row>
    <row r="2300" spans="2:2" x14ac:dyDescent="0.25">
      <c r="B2300"/>
    </row>
    <row r="2301" spans="2:2" x14ac:dyDescent="0.25">
      <c r="B2301"/>
    </row>
    <row r="2302" spans="2:2" x14ac:dyDescent="0.25">
      <c r="B2302"/>
    </row>
    <row r="2303" spans="2:2" x14ac:dyDescent="0.25">
      <c r="B2303"/>
    </row>
    <row r="2304" spans="2:2" x14ac:dyDescent="0.25">
      <c r="B2304"/>
    </row>
    <row r="2305" spans="2:2" x14ac:dyDescent="0.25">
      <c r="B2305"/>
    </row>
    <row r="2306" spans="2:2" x14ac:dyDescent="0.25">
      <c r="B2306"/>
    </row>
    <row r="2307" spans="2:2" x14ac:dyDescent="0.25">
      <c r="B2307"/>
    </row>
    <row r="2308" spans="2:2" x14ac:dyDescent="0.25">
      <c r="B2308"/>
    </row>
    <row r="2309" spans="2:2" x14ac:dyDescent="0.25">
      <c r="B2309"/>
    </row>
    <row r="2310" spans="2:2" x14ac:dyDescent="0.25">
      <c r="B2310"/>
    </row>
    <row r="2311" spans="2:2" x14ac:dyDescent="0.25">
      <c r="B2311"/>
    </row>
    <row r="2312" spans="2:2" x14ac:dyDescent="0.25">
      <c r="B2312"/>
    </row>
    <row r="2313" spans="2:2" x14ac:dyDescent="0.25">
      <c r="B2313"/>
    </row>
    <row r="2314" spans="2:2" x14ac:dyDescent="0.25">
      <c r="B2314"/>
    </row>
    <row r="2315" spans="2:2" x14ac:dyDescent="0.25">
      <c r="B2315"/>
    </row>
    <row r="2316" spans="2:2" x14ac:dyDescent="0.25">
      <c r="B2316"/>
    </row>
    <row r="2317" spans="2:2" x14ac:dyDescent="0.25">
      <c r="B2317"/>
    </row>
    <row r="2318" spans="2:2" x14ac:dyDescent="0.25">
      <c r="B2318"/>
    </row>
    <row r="2319" spans="2:2" x14ac:dyDescent="0.25">
      <c r="B2319"/>
    </row>
    <row r="2320" spans="2:2" x14ac:dyDescent="0.25">
      <c r="B2320"/>
    </row>
    <row r="2321" spans="2:2" x14ac:dyDescent="0.25">
      <c r="B2321"/>
    </row>
    <row r="2322" spans="2:2" x14ac:dyDescent="0.25">
      <c r="B2322"/>
    </row>
    <row r="2323" spans="2:2" x14ac:dyDescent="0.25">
      <c r="B2323"/>
    </row>
    <row r="2324" spans="2:2" x14ac:dyDescent="0.25">
      <c r="B2324"/>
    </row>
    <row r="2325" spans="2:2" x14ac:dyDescent="0.25">
      <c r="B2325"/>
    </row>
    <row r="2326" spans="2:2" x14ac:dyDescent="0.25">
      <c r="B2326"/>
    </row>
    <row r="2327" spans="2:2" x14ac:dyDescent="0.25">
      <c r="B2327"/>
    </row>
    <row r="2328" spans="2:2" x14ac:dyDescent="0.25">
      <c r="B2328"/>
    </row>
    <row r="2329" spans="2:2" x14ac:dyDescent="0.25">
      <c r="B2329"/>
    </row>
    <row r="2330" spans="2:2" x14ac:dyDescent="0.25">
      <c r="B2330"/>
    </row>
    <row r="2331" spans="2:2" x14ac:dyDescent="0.25">
      <c r="B2331"/>
    </row>
    <row r="2332" spans="2:2" x14ac:dyDescent="0.25">
      <c r="B2332"/>
    </row>
    <row r="2333" spans="2:2" x14ac:dyDescent="0.25">
      <c r="B2333"/>
    </row>
    <row r="2334" spans="2:2" x14ac:dyDescent="0.25">
      <c r="B2334"/>
    </row>
  </sheetData>
  <mergeCells count="11">
    <mergeCell ref="B8:B75"/>
    <mergeCell ref="B76:B140"/>
    <mergeCell ref="B141:B187"/>
    <mergeCell ref="B188:B236"/>
    <mergeCell ref="B237:B271"/>
    <mergeCell ref="B338:B411"/>
    <mergeCell ref="B412:B464"/>
    <mergeCell ref="B466:B537"/>
    <mergeCell ref="B538:B564"/>
    <mergeCell ref="B565:B614"/>
    <mergeCell ref="B272:B33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CC_COSTO_INFRA_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Belozo</dc:creator>
  <cp:lastModifiedBy>Daniel Belozo</cp:lastModifiedBy>
  <dcterms:created xsi:type="dcterms:W3CDTF">2026-08-04T14:23:47Z</dcterms:created>
  <dcterms:modified xsi:type="dcterms:W3CDTF">2026-08-04T18:27:21Z</dcterms:modified>
</cp:coreProperties>
</file>