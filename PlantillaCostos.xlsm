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\Downloads\"/>
    </mc:Choice>
  </mc:AlternateContent>
  <xr:revisionPtr revIDLastSave="0" documentId="8_{E193B9C6-1552-4CF1-90D1-6FC8100EB035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C_COSTO_INFRA_" sheetId="22" r:id="rId1"/>
    <sheet name="CC_EQUIPOS_" sheetId="5" r:id="rId2"/>
    <sheet name="CC_TRASLADO" sheetId="27" r:id="rId3"/>
    <sheet name="TRANS" sheetId="28" r:id="rId4"/>
    <sheet name="USD, UF de Hoy" sheetId="31" r:id="rId5"/>
    <sheet name="Hoja1" sheetId="32" r:id="rId6"/>
    <sheet name="Valores ESTEC" sheetId="29" r:id="rId7"/>
  </sheets>
  <externalReferences>
    <externalReference r:id="rId8"/>
  </externalReferences>
  <definedNames>
    <definedName name="_xlnm._FilterDatabase" localSheetId="6" hidden="1">'Valores ESTEC'!$B$5:$G$435</definedName>
    <definedName name="DatosExternos_1" localSheetId="4" hidden="1">'USD, UF de Hoy'!$A$1:$C$22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70" i="22" l="1" a="1"/>
  <c r="C370" i="22" s="1"/>
  <c r="C384" i="22"/>
  <c r="F107" i="22"/>
  <c r="G7" i="29"/>
  <c r="G8" i="29"/>
  <c r="G9" i="29"/>
  <c r="G10" i="29"/>
  <c r="G11" i="29"/>
  <c r="G12" i="29"/>
  <c r="G13" i="29"/>
  <c r="G14" i="29"/>
  <c r="G15" i="29"/>
  <c r="G16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1" i="29"/>
  <c r="G32" i="29"/>
  <c r="G33" i="29"/>
  <c r="G34" i="29"/>
  <c r="G35" i="29"/>
  <c r="G36" i="29"/>
  <c r="G37" i="29"/>
  <c r="G38" i="29"/>
  <c r="F62" i="22" s="1"/>
  <c r="G62" i="22" s="1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G72" i="29"/>
  <c r="G73" i="29"/>
  <c r="G74" i="29"/>
  <c r="F246" i="22" s="1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F101" i="22" s="1"/>
  <c r="G89" i="29"/>
  <c r="G90" i="29"/>
  <c r="G91" i="29"/>
  <c r="G92" i="29"/>
  <c r="G93" i="29"/>
  <c r="G94" i="29"/>
  <c r="G95" i="29"/>
  <c r="G96" i="29"/>
  <c r="G97" i="29"/>
  <c r="G98" i="29"/>
  <c r="G99" i="29"/>
  <c r="G100" i="29"/>
  <c r="G101" i="29"/>
  <c r="G102" i="29"/>
  <c r="G103" i="29"/>
  <c r="G104" i="29"/>
  <c r="G105" i="29"/>
  <c r="G106" i="29"/>
  <c r="G107" i="29"/>
  <c r="G108" i="29"/>
  <c r="G109" i="29"/>
  <c r="G110" i="29"/>
  <c r="G111" i="29"/>
  <c r="G112" i="29"/>
  <c r="G113" i="29"/>
  <c r="F197" i="22" s="1"/>
  <c r="G197" i="22" s="1"/>
  <c r="G114" i="29"/>
  <c r="G115" i="29"/>
  <c r="G116" i="29"/>
  <c r="G117" i="29"/>
  <c r="F193" i="22" s="1"/>
  <c r="G193" i="22" s="1"/>
  <c r="G118" i="29"/>
  <c r="G119" i="29"/>
  <c r="G120" i="29"/>
  <c r="G121" i="29"/>
  <c r="G122" i="29"/>
  <c r="G123" i="29"/>
  <c r="G124" i="29"/>
  <c r="G125" i="29"/>
  <c r="G126" i="29"/>
  <c r="G127" i="29"/>
  <c r="G128" i="29"/>
  <c r="G129" i="29"/>
  <c r="G130" i="29"/>
  <c r="G131" i="29"/>
  <c r="G132" i="29"/>
  <c r="G133" i="29"/>
  <c r="G134" i="29"/>
  <c r="G135" i="29"/>
  <c r="G136" i="29"/>
  <c r="G137" i="29"/>
  <c r="G138" i="29"/>
  <c r="G139" i="29"/>
  <c r="G140" i="29"/>
  <c r="G141" i="29"/>
  <c r="G142" i="29"/>
  <c r="G143" i="29"/>
  <c r="G144" i="29"/>
  <c r="G145" i="29"/>
  <c r="G146" i="29"/>
  <c r="G147" i="29"/>
  <c r="G148" i="29"/>
  <c r="G149" i="29"/>
  <c r="G150" i="29"/>
  <c r="G151" i="29"/>
  <c r="G152" i="29"/>
  <c r="G153" i="29"/>
  <c r="G154" i="29"/>
  <c r="G155" i="29"/>
  <c r="G156" i="29"/>
  <c r="G157" i="29"/>
  <c r="G158" i="29"/>
  <c r="G159" i="29"/>
  <c r="G160" i="29"/>
  <c r="G161" i="29"/>
  <c r="G162" i="29"/>
  <c r="G163" i="29"/>
  <c r="G164" i="29"/>
  <c r="G165" i="29"/>
  <c r="G166" i="29"/>
  <c r="G167" i="29"/>
  <c r="G168" i="29"/>
  <c r="G169" i="29"/>
  <c r="G170" i="29"/>
  <c r="G171" i="29"/>
  <c r="G172" i="29"/>
  <c r="G173" i="29"/>
  <c r="G174" i="29"/>
  <c r="G175" i="29"/>
  <c r="G176" i="29"/>
  <c r="G177" i="29"/>
  <c r="G178" i="29"/>
  <c r="G179" i="29"/>
  <c r="G180" i="29"/>
  <c r="G181" i="29"/>
  <c r="G182" i="29"/>
  <c r="G183" i="29"/>
  <c r="G184" i="29"/>
  <c r="G185" i="29"/>
  <c r="G186" i="29"/>
  <c r="G187" i="29"/>
  <c r="G188" i="29"/>
  <c r="G189" i="29"/>
  <c r="G190" i="29"/>
  <c r="G191" i="29"/>
  <c r="G192" i="29"/>
  <c r="G193" i="29"/>
  <c r="G194" i="29"/>
  <c r="G195" i="29"/>
  <c r="F199" i="22" s="1"/>
  <c r="G196" i="29"/>
  <c r="G197" i="29"/>
  <c r="G198" i="29"/>
  <c r="G199" i="29"/>
  <c r="G200" i="29"/>
  <c r="G201" i="29"/>
  <c r="G202" i="29"/>
  <c r="G203" i="29"/>
  <c r="G204" i="29"/>
  <c r="G205" i="29"/>
  <c r="G206" i="29"/>
  <c r="F217" i="22" s="1"/>
  <c r="G217" i="22" s="1"/>
  <c r="G207" i="29"/>
  <c r="G208" i="29"/>
  <c r="G209" i="29"/>
  <c r="F220" i="22" s="1"/>
  <c r="G220" i="22" s="1"/>
  <c r="G210" i="29"/>
  <c r="F221" i="22" s="1"/>
  <c r="G221" i="22" s="1"/>
  <c r="G211" i="29"/>
  <c r="G212" i="29"/>
  <c r="G213" i="29"/>
  <c r="G214" i="29"/>
  <c r="G215" i="29"/>
  <c r="G216" i="29"/>
  <c r="G217" i="29"/>
  <c r="G218" i="29"/>
  <c r="G219" i="29"/>
  <c r="G220" i="29"/>
  <c r="G221" i="29"/>
  <c r="G222" i="29"/>
  <c r="G223" i="29"/>
  <c r="G224" i="29"/>
  <c r="G225" i="29"/>
  <c r="G226" i="29"/>
  <c r="G227" i="29"/>
  <c r="G228" i="29"/>
  <c r="G229" i="29"/>
  <c r="G230" i="29"/>
  <c r="G231" i="29"/>
  <c r="G232" i="29"/>
  <c r="G233" i="29"/>
  <c r="G234" i="29"/>
  <c r="G235" i="29"/>
  <c r="G236" i="29"/>
  <c r="G237" i="29"/>
  <c r="G238" i="29"/>
  <c r="G239" i="29"/>
  <c r="G240" i="29"/>
  <c r="G241" i="29"/>
  <c r="G242" i="29"/>
  <c r="G243" i="29"/>
  <c r="G244" i="29"/>
  <c r="G245" i="29"/>
  <c r="G246" i="29"/>
  <c r="G247" i="29"/>
  <c r="G248" i="29"/>
  <c r="G249" i="29"/>
  <c r="G250" i="29"/>
  <c r="G251" i="29"/>
  <c r="G252" i="29"/>
  <c r="G253" i="29"/>
  <c r="G254" i="29"/>
  <c r="G255" i="29"/>
  <c r="G256" i="29"/>
  <c r="G257" i="29"/>
  <c r="G258" i="29"/>
  <c r="G259" i="29"/>
  <c r="G260" i="29"/>
  <c r="G261" i="29"/>
  <c r="G262" i="29"/>
  <c r="G263" i="29"/>
  <c r="G264" i="29"/>
  <c r="G265" i="29"/>
  <c r="G266" i="29"/>
  <c r="G267" i="29"/>
  <c r="G268" i="29"/>
  <c r="G269" i="29"/>
  <c r="G270" i="29"/>
  <c r="G271" i="29"/>
  <c r="G272" i="29"/>
  <c r="G273" i="29"/>
  <c r="G274" i="29"/>
  <c r="G275" i="29"/>
  <c r="G276" i="29"/>
  <c r="G277" i="29"/>
  <c r="G278" i="29"/>
  <c r="G279" i="29"/>
  <c r="G280" i="29"/>
  <c r="G281" i="29"/>
  <c r="G282" i="29"/>
  <c r="G283" i="29"/>
  <c r="G284" i="29"/>
  <c r="G285" i="29"/>
  <c r="G286" i="29"/>
  <c r="G287" i="29"/>
  <c r="G288" i="29"/>
  <c r="G289" i="29"/>
  <c r="G290" i="29"/>
  <c r="G291" i="29"/>
  <c r="G292" i="29"/>
  <c r="G293" i="29"/>
  <c r="G294" i="29"/>
  <c r="G295" i="29"/>
  <c r="G296" i="29"/>
  <c r="G297" i="29"/>
  <c r="G298" i="29"/>
  <c r="G299" i="29"/>
  <c r="G300" i="29"/>
  <c r="G301" i="29"/>
  <c r="G302" i="29"/>
  <c r="G303" i="29"/>
  <c r="G304" i="29"/>
  <c r="G305" i="29"/>
  <c r="G306" i="29"/>
  <c r="G307" i="29"/>
  <c r="G308" i="29"/>
  <c r="G309" i="29"/>
  <c r="G310" i="29"/>
  <c r="G311" i="29"/>
  <c r="G312" i="29"/>
  <c r="G313" i="29"/>
  <c r="G314" i="29"/>
  <c r="F202" i="22" s="1"/>
  <c r="G202" i="22" s="1"/>
  <c r="G315" i="29"/>
  <c r="G316" i="29"/>
  <c r="G317" i="29"/>
  <c r="F205" i="22" s="1"/>
  <c r="G205" i="22" s="1"/>
  <c r="G318" i="29"/>
  <c r="F206" i="22" s="1"/>
  <c r="G206" i="22" s="1"/>
  <c r="G319" i="29"/>
  <c r="G320" i="29"/>
  <c r="G321" i="29"/>
  <c r="F209" i="22" s="1"/>
  <c r="G209" i="22" s="1"/>
  <c r="G322" i="29"/>
  <c r="F210" i="22" s="1"/>
  <c r="G210" i="22" s="1"/>
  <c r="G323" i="29"/>
  <c r="G324" i="29"/>
  <c r="G325" i="29"/>
  <c r="G326" i="29"/>
  <c r="G327" i="29"/>
  <c r="G328" i="29"/>
  <c r="G329" i="29"/>
  <c r="G330" i="29"/>
  <c r="G331" i="29"/>
  <c r="G332" i="29"/>
  <c r="G333" i="29"/>
  <c r="G334" i="29"/>
  <c r="G335" i="29"/>
  <c r="G336" i="29"/>
  <c r="G337" i="29"/>
  <c r="G338" i="29"/>
  <c r="G339" i="29"/>
  <c r="G340" i="29"/>
  <c r="G341" i="29"/>
  <c r="G342" i="29"/>
  <c r="G343" i="29"/>
  <c r="G344" i="29"/>
  <c r="G345" i="29"/>
  <c r="G346" i="29"/>
  <c r="G347" i="29"/>
  <c r="G348" i="29"/>
  <c r="G349" i="29"/>
  <c r="G350" i="29"/>
  <c r="G351" i="29"/>
  <c r="G352" i="29"/>
  <c r="G353" i="29"/>
  <c r="G354" i="29"/>
  <c r="F22" i="22" s="1"/>
  <c r="G355" i="29"/>
  <c r="G356" i="29"/>
  <c r="G357" i="29"/>
  <c r="F20" i="22" s="1"/>
  <c r="G358" i="29"/>
  <c r="F34" i="22" s="1"/>
  <c r="G359" i="29"/>
  <c r="G360" i="29"/>
  <c r="G361" i="29"/>
  <c r="F24" i="22" s="1"/>
  <c r="G362" i="29"/>
  <c r="F25" i="22" s="1"/>
  <c r="G363" i="29"/>
  <c r="G364" i="29"/>
  <c r="G365" i="29"/>
  <c r="G366" i="29"/>
  <c r="F44" i="22" s="1"/>
  <c r="G44" i="22" s="1"/>
  <c r="G367" i="29"/>
  <c r="G368" i="29"/>
  <c r="F46" i="22" s="1"/>
  <c r="G46" i="22" s="1"/>
  <c r="G369" i="29"/>
  <c r="F47" i="22" s="1"/>
  <c r="G47" i="22" s="1"/>
  <c r="G370" i="29"/>
  <c r="F48" i="22" s="1"/>
  <c r="G48" i="22" s="1"/>
  <c r="G371" i="29"/>
  <c r="G372" i="29"/>
  <c r="F50" i="22" s="1"/>
  <c r="G50" i="22" s="1"/>
  <c r="G373" i="29"/>
  <c r="F51" i="22" s="1"/>
  <c r="G51" i="22" s="1"/>
  <c r="G374" i="29"/>
  <c r="F52" i="22" s="1"/>
  <c r="G52" i="22" s="1"/>
  <c r="G375" i="29"/>
  <c r="G376" i="29"/>
  <c r="F54" i="22" s="1"/>
  <c r="G54" i="22" s="1"/>
  <c r="G377" i="29"/>
  <c r="F55" i="22" s="1"/>
  <c r="G55" i="22" s="1"/>
  <c r="G378" i="29"/>
  <c r="F56" i="22" s="1"/>
  <c r="G56" i="22" s="1"/>
  <c r="G379" i="29"/>
  <c r="G380" i="29"/>
  <c r="F58" i="22" s="1"/>
  <c r="G58" i="22" s="1"/>
  <c r="G381" i="29"/>
  <c r="F59" i="22" s="1"/>
  <c r="G59" i="22" s="1"/>
  <c r="G382" i="29"/>
  <c r="F88" i="22" s="1"/>
  <c r="G88" i="22" s="1"/>
  <c r="G383" i="29"/>
  <c r="G384" i="29"/>
  <c r="G385" i="29"/>
  <c r="G386" i="29"/>
  <c r="F92" i="22" s="1"/>
  <c r="G92" i="22" s="1"/>
  <c r="G387" i="29"/>
  <c r="G388" i="29"/>
  <c r="G389" i="29"/>
  <c r="G390" i="29"/>
  <c r="G391" i="29"/>
  <c r="G392" i="29"/>
  <c r="G393" i="29"/>
  <c r="F95" i="22" s="1"/>
  <c r="G95" i="22" s="1"/>
  <c r="G394" i="29"/>
  <c r="F97" i="22" s="1"/>
  <c r="G97" i="22" s="1"/>
  <c r="G395" i="29"/>
  <c r="G396" i="29"/>
  <c r="G397" i="29"/>
  <c r="G398" i="29"/>
  <c r="F116" i="22" s="1"/>
  <c r="G116" i="22" s="1"/>
  <c r="G399" i="29"/>
  <c r="G400" i="29"/>
  <c r="G401" i="29"/>
  <c r="G402" i="29"/>
  <c r="F120" i="22" s="1"/>
  <c r="G120" i="22" s="1"/>
  <c r="G403" i="29"/>
  <c r="G404" i="29"/>
  <c r="G405" i="29"/>
  <c r="G406" i="29"/>
  <c r="F124" i="22" s="1"/>
  <c r="G124" i="22" s="1"/>
  <c r="G407" i="29"/>
  <c r="G408" i="29"/>
  <c r="G409" i="29"/>
  <c r="G410" i="29"/>
  <c r="F128" i="22" s="1"/>
  <c r="G128" i="22" s="1"/>
  <c r="G411" i="29"/>
  <c r="G412" i="29"/>
  <c r="G413" i="29"/>
  <c r="G414" i="29"/>
  <c r="G415" i="29"/>
  <c r="G416" i="29"/>
  <c r="G417" i="29"/>
  <c r="F163" i="22" s="1"/>
  <c r="G418" i="29"/>
  <c r="F164" i="22" s="1"/>
  <c r="G419" i="29"/>
  <c r="G420" i="29"/>
  <c r="G421" i="29"/>
  <c r="F174" i="22" s="1"/>
  <c r="G174" i="22" s="1"/>
  <c r="G422" i="29"/>
  <c r="F175" i="22" s="1"/>
  <c r="G175" i="22" s="1"/>
  <c r="G423" i="29"/>
  <c r="G424" i="29"/>
  <c r="F177" i="22" s="1"/>
  <c r="G177" i="22" s="1"/>
  <c r="G425" i="29"/>
  <c r="F178" i="22" s="1"/>
  <c r="G178" i="22" s="1"/>
  <c r="G426" i="29"/>
  <c r="F179" i="22" s="1"/>
  <c r="G179" i="22" s="1"/>
  <c r="G427" i="29"/>
  <c r="G428" i="29"/>
  <c r="F212" i="22" s="1"/>
  <c r="G212" i="22" s="1"/>
  <c r="G429" i="29"/>
  <c r="G430" i="29"/>
  <c r="F214" i="22" s="1"/>
  <c r="G214" i="22" s="1"/>
  <c r="G431" i="29"/>
  <c r="G432" i="29"/>
  <c r="G433" i="29"/>
  <c r="G434" i="29"/>
  <c r="G435" i="29"/>
  <c r="G6" i="29"/>
  <c r="G281" i="22"/>
  <c r="G282" i="22"/>
  <c r="G283" i="22"/>
  <c r="G284" i="22"/>
  <c r="G285" i="22"/>
  <c r="G286" i="22"/>
  <c r="G287" i="22"/>
  <c r="G288" i="22"/>
  <c r="G289" i="22"/>
  <c r="G290" i="22"/>
  <c r="G291" i="22"/>
  <c r="G292" i="22"/>
  <c r="G293" i="22"/>
  <c r="G294" i="22"/>
  <c r="G295" i="22"/>
  <c r="G296" i="22"/>
  <c r="G297" i="22"/>
  <c r="G298" i="22"/>
  <c r="G299" i="22"/>
  <c r="G300" i="22"/>
  <c r="G301" i="22"/>
  <c r="G302" i="22"/>
  <c r="G303" i="22"/>
  <c r="G304" i="22"/>
  <c r="G305" i="22"/>
  <c r="G306" i="22"/>
  <c r="G307" i="22"/>
  <c r="G308" i="22"/>
  <c r="G309" i="22"/>
  <c r="G310" i="22"/>
  <c r="G311" i="22"/>
  <c r="G312" i="22"/>
  <c r="G313" i="22"/>
  <c r="G314" i="22"/>
  <c r="G315" i="22"/>
  <c r="G60" i="22"/>
  <c r="G61" i="22"/>
  <c r="G63" i="22"/>
  <c r="G64" i="22"/>
  <c r="G65" i="22"/>
  <c r="C199" i="22"/>
  <c r="F216" i="22"/>
  <c r="G216" i="22" s="1"/>
  <c r="F218" i="22"/>
  <c r="G218" i="22" s="1"/>
  <c r="F219" i="22"/>
  <c r="G219" i="22" s="1"/>
  <c r="F252" i="22"/>
  <c r="F223" i="22"/>
  <c r="G223" i="22" s="1"/>
  <c r="C223" i="22"/>
  <c r="F222" i="22"/>
  <c r="G222" i="22" s="1"/>
  <c r="C222" i="22"/>
  <c r="F213" i="22"/>
  <c r="G213" i="22" s="1"/>
  <c r="C213" i="22"/>
  <c r="C214" i="22"/>
  <c r="C212" i="22"/>
  <c r="G180" i="22"/>
  <c r="G188" i="22"/>
  <c r="G189" i="22"/>
  <c r="G190" i="22"/>
  <c r="F187" i="22"/>
  <c r="G187" i="22" s="1"/>
  <c r="C187" i="22"/>
  <c r="C186" i="22"/>
  <c r="F176" i="22"/>
  <c r="G176" i="22" s="1"/>
  <c r="F173" i="22"/>
  <c r="G173" i="22" s="1"/>
  <c r="C174" i="22"/>
  <c r="C175" i="22"/>
  <c r="C176" i="22"/>
  <c r="C177" i="22"/>
  <c r="C178" i="22"/>
  <c r="C179" i="22"/>
  <c r="C173" i="22"/>
  <c r="F168" i="22"/>
  <c r="G168" i="22" s="1"/>
  <c r="F161" i="22"/>
  <c r="G114" i="22"/>
  <c r="G130" i="22"/>
  <c r="F117" i="22"/>
  <c r="G117" i="22" s="1"/>
  <c r="F118" i="22"/>
  <c r="G118" i="22" s="1"/>
  <c r="F119" i="22"/>
  <c r="G119" i="22" s="1"/>
  <c r="F121" i="22"/>
  <c r="G121" i="22" s="1"/>
  <c r="F122" i="22"/>
  <c r="G122" i="22" s="1"/>
  <c r="F123" i="22"/>
  <c r="G123" i="22" s="1"/>
  <c r="F125" i="22"/>
  <c r="G125" i="22" s="1"/>
  <c r="F126" i="22"/>
  <c r="G126" i="22" s="1"/>
  <c r="F127" i="22"/>
  <c r="G127" i="22" s="1"/>
  <c r="F129" i="22"/>
  <c r="G129" i="22" s="1"/>
  <c r="C129" i="22"/>
  <c r="C130" i="22"/>
  <c r="C127" i="22"/>
  <c r="C128" i="22"/>
  <c r="C117" i="22"/>
  <c r="C118" i="22"/>
  <c r="C119" i="22"/>
  <c r="C120" i="22"/>
  <c r="C121" i="22"/>
  <c r="C122" i="22"/>
  <c r="C123" i="22"/>
  <c r="C124" i="22"/>
  <c r="C125" i="22"/>
  <c r="C126" i="22"/>
  <c r="C116" i="22"/>
  <c r="F150" i="22"/>
  <c r="G150" i="22" s="1"/>
  <c r="C150" i="22"/>
  <c r="G87" i="22"/>
  <c r="F98" i="22"/>
  <c r="G98" i="22" s="1"/>
  <c r="F99" i="22"/>
  <c r="G99" i="22" s="1"/>
  <c r="F100" i="22"/>
  <c r="G100" i="22" s="1"/>
  <c r="C98" i="22"/>
  <c r="C99" i="22"/>
  <c r="C100" i="22"/>
  <c r="C97" i="22"/>
  <c r="F94" i="22"/>
  <c r="G94" i="22" s="1"/>
  <c r="C95" i="22"/>
  <c r="C94" i="22"/>
  <c r="F89" i="22"/>
  <c r="G89" i="22" s="1"/>
  <c r="F90" i="22"/>
  <c r="G90" i="22" s="1"/>
  <c r="F91" i="22"/>
  <c r="G91" i="22" s="1"/>
  <c r="F93" i="22"/>
  <c r="G93" i="22" s="1"/>
  <c r="C93" i="22"/>
  <c r="C89" i="22"/>
  <c r="C90" i="22"/>
  <c r="C91" i="22"/>
  <c r="C92" i="22"/>
  <c r="C88" i="22"/>
  <c r="G66" i="22"/>
  <c r="G67" i="22"/>
  <c r="G68" i="22"/>
  <c r="G69" i="22"/>
  <c r="G70" i="22"/>
  <c r="G71" i="22"/>
  <c r="G72" i="22"/>
  <c r="G73" i="22"/>
  <c r="G74" i="22"/>
  <c r="G75" i="22"/>
  <c r="F49" i="22"/>
  <c r="G49" i="22" s="1"/>
  <c r="F53" i="22"/>
  <c r="G53" i="22" s="1"/>
  <c r="F57" i="22"/>
  <c r="G57" i="22" s="1"/>
  <c r="F45" i="22"/>
  <c r="C58" i="22"/>
  <c r="C59" i="22"/>
  <c r="C56" i="22"/>
  <c r="C57" i="22"/>
  <c r="C46" i="22"/>
  <c r="C47" i="22"/>
  <c r="C48" i="22"/>
  <c r="C49" i="22"/>
  <c r="C50" i="22"/>
  <c r="C51" i="22"/>
  <c r="C52" i="22"/>
  <c r="C53" i="22"/>
  <c r="C54" i="22"/>
  <c r="C55" i="22"/>
  <c r="C45" i="22"/>
  <c r="F42" i="22"/>
  <c r="G42" i="22" s="1"/>
  <c r="F43" i="22"/>
  <c r="G43" i="22" s="1"/>
  <c r="F41" i="22"/>
  <c r="G41" i="22" s="1"/>
  <c r="C42" i="22"/>
  <c r="C43" i="22"/>
  <c r="C44" i="22"/>
  <c r="C41" i="22"/>
  <c r="C23" i="22"/>
  <c r="C24" i="22"/>
  <c r="C25" i="22"/>
  <c r="C30" i="22"/>
  <c r="C33" i="22"/>
  <c r="C34" i="22"/>
  <c r="C35" i="22"/>
  <c r="F23" i="22"/>
  <c r="F35" i="22"/>
  <c r="F21" i="22"/>
  <c r="F19" i="22"/>
  <c r="F18" i="22"/>
  <c r="I11" i="32"/>
  <c r="G1" i="5"/>
  <c r="K6" i="5" s="1"/>
  <c r="E1" i="5"/>
  <c r="F5" i="5" s="1"/>
  <c r="C239" i="22"/>
  <c r="C225" i="22"/>
  <c r="C226" i="22"/>
  <c r="C227" i="22"/>
  <c r="C228" i="22"/>
  <c r="C229" i="22"/>
  <c r="C230" i="22"/>
  <c r="C231" i="22"/>
  <c r="C232" i="22"/>
  <c r="C233" i="22"/>
  <c r="C234" i="22"/>
  <c r="C235" i="22"/>
  <c r="C236" i="22"/>
  <c r="C237" i="22"/>
  <c r="C238" i="22"/>
  <c r="C224" i="22"/>
  <c r="C220" i="22"/>
  <c r="C221" i="22"/>
  <c r="F215" i="22"/>
  <c r="G215" i="22" s="1"/>
  <c r="C216" i="22"/>
  <c r="C217" i="22"/>
  <c r="C218" i="22"/>
  <c r="C219" i="22"/>
  <c r="C215" i="22"/>
  <c r="F203" i="22"/>
  <c r="G203" i="22" s="1"/>
  <c r="F204" i="22"/>
  <c r="G204" i="22" s="1"/>
  <c r="F207" i="22"/>
  <c r="G207" i="22" s="1"/>
  <c r="F208" i="22"/>
  <c r="G208" i="22" s="1"/>
  <c r="F211" i="22"/>
  <c r="G211" i="22" s="1"/>
  <c r="F201" i="22"/>
  <c r="G201" i="22" s="1"/>
  <c r="C202" i="22"/>
  <c r="C203" i="22"/>
  <c r="C204" i="22"/>
  <c r="C205" i="22"/>
  <c r="C206" i="22"/>
  <c r="C207" i="22"/>
  <c r="C208" i="22"/>
  <c r="C209" i="22"/>
  <c r="C210" i="22"/>
  <c r="C211" i="22"/>
  <c r="C201" i="22"/>
  <c r="F198" i="22"/>
  <c r="G198" i="22" s="1"/>
  <c r="C195" i="22"/>
  <c r="F195" i="22"/>
  <c r="G195" i="22" s="1"/>
  <c r="F194" i="22"/>
  <c r="G194" i="22" s="1"/>
  <c r="F192" i="22"/>
  <c r="F191" i="22"/>
  <c r="C170" i="22"/>
  <c r="C169" i="22"/>
  <c r="C165" i="22"/>
  <c r="C159" i="22"/>
  <c r="C147" i="22"/>
  <c r="C146" i="22"/>
  <c r="G148" i="22"/>
  <c r="C145" i="22"/>
  <c r="C144" i="22"/>
  <c r="C143" i="22"/>
  <c r="C138" i="22"/>
  <c r="C137" i="22"/>
  <c r="C136" i="22"/>
  <c r="C135" i="22"/>
  <c r="C134" i="22"/>
  <c r="C132" i="22"/>
  <c r="C133" i="22"/>
  <c r="G149" i="22"/>
  <c r="F186" i="22" l="1"/>
  <c r="G186" i="22" s="1"/>
  <c r="K16" i="5"/>
  <c r="K8" i="5"/>
  <c r="K21" i="5"/>
  <c r="K13" i="5"/>
  <c r="K5" i="5"/>
  <c r="K20" i="5"/>
  <c r="K12" i="5"/>
  <c r="K17" i="5"/>
  <c r="K9" i="5"/>
  <c r="K4" i="5"/>
  <c r="K19" i="5"/>
  <c r="K15" i="5"/>
  <c r="K11" i="5"/>
  <c r="K7" i="5"/>
  <c r="H50" i="5"/>
  <c r="C32" i="5" s="1"/>
  <c r="K22" i="5"/>
  <c r="K18" i="5"/>
  <c r="K14" i="5"/>
  <c r="K10" i="5"/>
  <c r="F10" i="5"/>
  <c r="F14" i="5"/>
  <c r="F8" i="5"/>
  <c r="F12" i="5"/>
  <c r="F11" i="5"/>
  <c r="F7" i="5"/>
  <c r="F6" i="5"/>
  <c r="F13" i="5"/>
  <c r="F9" i="5"/>
  <c r="F131" i="22"/>
  <c r="G131" i="22" s="1"/>
  <c r="F113" i="22"/>
  <c r="G113" i="22" s="1"/>
  <c r="F112" i="22"/>
  <c r="G112" i="22" s="1"/>
  <c r="F109" i="22"/>
  <c r="F102" i="22"/>
  <c r="F96" i="22"/>
  <c r="G96" i="22" s="1"/>
  <c r="F85" i="22"/>
  <c r="G85" i="22" s="1"/>
  <c r="F86" i="22"/>
  <c r="G86" i="22" s="1"/>
  <c r="F82" i="22"/>
  <c r="F81" i="22"/>
  <c r="F77" i="22"/>
  <c r="F78" i="22"/>
  <c r="F84" i="22"/>
  <c r="F80" i="22"/>
  <c r="F76" i="22"/>
  <c r="F40" i="22"/>
  <c r="G40" i="22" s="1"/>
  <c r="F39" i="22"/>
  <c r="G39" i="22" s="1"/>
  <c r="F33" i="22"/>
  <c r="F30" i="22"/>
  <c r="G30" i="22" s="1"/>
  <c r="F31" i="22"/>
  <c r="F28" i="22"/>
  <c r="F16" i="22"/>
  <c r="F15" i="22"/>
  <c r="F14" i="22"/>
  <c r="F13" i="22"/>
  <c r="F12" i="22"/>
  <c r="F8" i="22"/>
  <c r="F183" i="22"/>
  <c r="G183" i="22" s="1"/>
  <c r="F182" i="22"/>
  <c r="G182" i="22" s="1"/>
  <c r="F181" i="22"/>
  <c r="G181" i="22" s="1"/>
  <c r="F184" i="22"/>
  <c r="G184" i="22" s="1"/>
  <c r="F185" i="22"/>
  <c r="G185" i="22" s="1"/>
  <c r="F154" i="22"/>
  <c r="F156" i="22" s="1"/>
  <c r="F251" i="22"/>
  <c r="F147" i="22"/>
  <c r="G147" i="22" s="1"/>
  <c r="F225" i="22"/>
  <c r="G225" i="22" s="1"/>
  <c r="F226" i="22"/>
  <c r="G226" i="22" s="1"/>
  <c r="F227" i="22"/>
  <c r="G227" i="22" s="1"/>
  <c r="F228" i="22"/>
  <c r="G228" i="22" s="1"/>
  <c r="F229" i="22"/>
  <c r="G229" i="22" s="1"/>
  <c r="F230" i="22"/>
  <c r="G230" i="22" s="1"/>
  <c r="F231" i="22"/>
  <c r="G231" i="22" s="1"/>
  <c r="F232" i="22"/>
  <c r="G232" i="22" s="1"/>
  <c r="F233" i="22"/>
  <c r="G233" i="22" s="1"/>
  <c r="F234" i="22"/>
  <c r="G234" i="22" s="1"/>
  <c r="F235" i="22"/>
  <c r="G235" i="22" s="1"/>
  <c r="F236" i="22"/>
  <c r="G236" i="22" s="1"/>
  <c r="F237" i="22"/>
  <c r="G237" i="22" s="1"/>
  <c r="F238" i="22"/>
  <c r="G238" i="22" s="1"/>
  <c r="F239" i="22"/>
  <c r="G239" i="22" s="1"/>
  <c r="F240" i="22"/>
  <c r="G240" i="22" s="1"/>
  <c r="F224" i="22"/>
  <c r="G224" i="22" s="1"/>
  <c r="F196" i="22"/>
  <c r="G196" i="22" s="1"/>
  <c r="F247" i="22"/>
  <c r="F143" i="22"/>
  <c r="G143" i="22" s="1"/>
  <c r="F142" i="22"/>
  <c r="G142" i="22" s="1"/>
  <c r="F141" i="22"/>
  <c r="G141" i="22" s="1"/>
  <c r="F140" i="22"/>
  <c r="G140" i="22" s="1"/>
  <c r="F139" i="22"/>
  <c r="G139" i="22" s="1"/>
  <c r="F138" i="22"/>
  <c r="G138" i="22" s="1"/>
  <c r="F134" i="22"/>
  <c r="G134" i="22" s="1"/>
  <c r="F135" i="22"/>
  <c r="G135" i="22" s="1"/>
  <c r="F132" i="22"/>
  <c r="F133" i="22"/>
  <c r="G133" i="22" s="1"/>
  <c r="F136" i="22"/>
  <c r="G136" i="22" s="1"/>
  <c r="F137" i="22"/>
  <c r="G137" i="22" s="1"/>
  <c r="F144" i="22"/>
  <c r="G144" i="22" s="1"/>
  <c r="F145" i="22"/>
  <c r="G145" i="22" s="1"/>
  <c r="F169" i="22"/>
  <c r="G169" i="22" s="1"/>
  <c r="F170" i="22"/>
  <c r="G170" i="22" s="1"/>
  <c r="F146" i="22"/>
  <c r="G146" i="22" s="1"/>
  <c r="F166" i="22"/>
  <c r="F171" i="22"/>
  <c r="G171" i="22" s="1"/>
  <c r="F158" i="22"/>
  <c r="F162" i="22"/>
  <c r="F250" i="22"/>
  <c r="F106" i="22"/>
  <c r="F105" i="22"/>
  <c r="F104" i="22"/>
  <c r="F103" i="22"/>
  <c r="F111" i="22"/>
  <c r="G111" i="22" s="1"/>
  <c r="F115" i="22"/>
  <c r="G115" i="22" s="1"/>
  <c r="F110" i="22"/>
  <c r="G110" i="22" s="1"/>
  <c r="F108" i="22"/>
  <c r="F29" i="22"/>
  <c r="F17" i="22"/>
  <c r="F10" i="22"/>
  <c r="F165" i="22"/>
  <c r="F159" i="22"/>
  <c r="F9" i="22"/>
  <c r="F11" i="22"/>
  <c r="F167" i="22"/>
  <c r="F172" i="22"/>
  <c r="G172" i="22" s="1"/>
  <c r="F1" i="28"/>
  <c r="G246" i="22"/>
  <c r="F157" i="22" l="1"/>
  <c r="F155" i="22"/>
  <c r="G8" i="5" l="1"/>
  <c r="F2" i="5"/>
  <c r="F10" i="28"/>
  <c r="H10" i="28" s="1"/>
  <c r="K27" i="27" l="1"/>
  <c r="I15" i="27"/>
  <c r="J15" i="27" s="1"/>
  <c r="I14" i="27"/>
  <c r="J14" i="27" s="1"/>
  <c r="I13" i="27"/>
  <c r="J13" i="27" s="1"/>
  <c r="I12" i="27"/>
  <c r="J12" i="27" s="1"/>
  <c r="I11" i="27"/>
  <c r="J11" i="27" s="1"/>
  <c r="J10" i="27"/>
  <c r="J9" i="27"/>
  <c r="I8" i="27"/>
  <c r="J8" i="27" s="1"/>
  <c r="G270" i="22"/>
  <c r="J21" i="27" l="1"/>
  <c r="O19" i="27"/>
  <c r="O21" i="27" s="1"/>
  <c r="G38" i="22"/>
  <c r="C378" i="22" a="1"/>
  <c r="C378" i="22" s="1"/>
  <c r="C364" i="22" a="1"/>
  <c r="C364" i="22" s="1"/>
  <c r="C356" i="22"/>
  <c r="C371" i="22" l="1"/>
  <c r="C373" i="22" s="1"/>
  <c r="C381" i="22"/>
  <c r="K25" i="27"/>
  <c r="K30" i="27" s="1"/>
  <c r="G318" i="22"/>
  <c r="G325" i="22" l="1"/>
  <c r="G363" i="22" l="1"/>
  <c r="C387" i="22"/>
  <c r="G367" i="22" s="1"/>
  <c r="G366" i="22"/>
  <c r="G365" i="22" l="1"/>
  <c r="G364" i="22"/>
  <c r="G362" i="22"/>
  <c r="G350" i="22" l="1"/>
  <c r="G349" i="22"/>
  <c r="G348" i="22"/>
  <c r="G347" i="22"/>
  <c r="G346" i="22"/>
  <c r="G345" i="22"/>
  <c r="G344" i="22"/>
  <c r="G343" i="22"/>
  <c r="G342" i="22"/>
  <c r="G341" i="22"/>
  <c r="G340" i="22"/>
  <c r="G339" i="22"/>
  <c r="G338" i="22"/>
  <c r="G337" i="22"/>
  <c r="G336" i="22"/>
  <c r="G335" i="22"/>
  <c r="G334" i="22"/>
  <c r="G333" i="22"/>
  <c r="G332" i="22"/>
  <c r="G331" i="22"/>
  <c r="G330" i="22"/>
  <c r="G329" i="22"/>
  <c r="G328" i="22"/>
  <c r="G327" i="22"/>
  <c r="G326" i="22"/>
  <c r="G324" i="22"/>
  <c r="G323" i="22"/>
  <c r="G322" i="22"/>
  <c r="G321" i="22"/>
  <c r="G320" i="22"/>
  <c r="G319" i="22"/>
  <c r="G317" i="22"/>
  <c r="G316" i="22"/>
  <c r="G280" i="22"/>
  <c r="G279" i="22"/>
  <c r="G278" i="22"/>
  <c r="G277" i="22"/>
  <c r="G276" i="22"/>
  <c r="G275" i="22"/>
  <c r="G274" i="22"/>
  <c r="G273" i="22"/>
  <c r="G272" i="22"/>
  <c r="G271" i="22"/>
  <c r="G269" i="22"/>
  <c r="G268" i="22"/>
  <c r="G267" i="22"/>
  <c r="G266" i="22"/>
  <c r="G265" i="22"/>
  <c r="G264" i="22"/>
  <c r="G263" i="22"/>
  <c r="G262" i="22"/>
  <c r="G261" i="22"/>
  <c r="G260" i="22"/>
  <c r="G259" i="22"/>
  <c r="G258" i="22"/>
  <c r="G257" i="22"/>
  <c r="G256" i="22"/>
  <c r="G255" i="22"/>
  <c r="G254" i="22"/>
  <c r="G253" i="22"/>
  <c r="G252" i="22"/>
  <c r="G251" i="22"/>
  <c r="G250" i="22"/>
  <c r="G249" i="22"/>
  <c r="G248" i="22"/>
  <c r="G247" i="22"/>
  <c r="G245" i="22"/>
  <c r="G244" i="22"/>
  <c r="G243" i="22"/>
  <c r="G242" i="22"/>
  <c r="G241" i="22"/>
  <c r="G200" i="22"/>
  <c r="G199" i="22"/>
  <c r="G192" i="22"/>
  <c r="G191" i="22"/>
  <c r="G167" i="22"/>
  <c r="G166" i="22"/>
  <c r="G165" i="22"/>
  <c r="G164" i="22"/>
  <c r="G163" i="22"/>
  <c r="G162" i="22"/>
  <c r="G161" i="22"/>
  <c r="G160" i="22"/>
  <c r="G159" i="22"/>
  <c r="G158" i="22"/>
  <c r="G157" i="22"/>
  <c r="G156" i="22"/>
  <c r="G155" i="22"/>
  <c r="G154" i="22"/>
  <c r="G153" i="22"/>
  <c r="G152" i="22"/>
  <c r="G151" i="22"/>
  <c r="G132" i="22"/>
  <c r="G109" i="22"/>
  <c r="G108" i="22"/>
  <c r="G107" i="22"/>
  <c r="G106" i="22"/>
  <c r="G105" i="22"/>
  <c r="G104" i="22"/>
  <c r="G103" i="22"/>
  <c r="G102" i="22"/>
  <c r="G101" i="22"/>
  <c r="G84" i="22"/>
  <c r="G83" i="22"/>
  <c r="G82" i="22"/>
  <c r="G81" i="22"/>
  <c r="G80" i="22"/>
  <c r="G79" i="22"/>
  <c r="G78" i="22"/>
  <c r="G77" i="22"/>
  <c r="G76" i="22"/>
  <c r="G45" i="22"/>
  <c r="G37" i="22"/>
  <c r="G36" i="22"/>
  <c r="G35" i="22"/>
  <c r="G34" i="22"/>
  <c r="G32" i="22"/>
  <c r="G31" i="22"/>
  <c r="G29" i="22"/>
  <c r="G28" i="22"/>
  <c r="G27" i="22"/>
  <c r="G26" i="22"/>
  <c r="G25" i="22"/>
  <c r="G24" i="22"/>
  <c r="G23" i="22"/>
  <c r="G22" i="22"/>
  <c r="G21" i="22"/>
  <c r="G20" i="22"/>
  <c r="G19" i="22"/>
  <c r="G18" i="22"/>
  <c r="G17" i="22"/>
  <c r="G16" i="22"/>
  <c r="G15" i="22"/>
  <c r="G14" i="22"/>
  <c r="G13" i="22"/>
  <c r="G12" i="22"/>
  <c r="G11" i="22"/>
  <c r="G10" i="22"/>
  <c r="G9" i="22"/>
  <c r="G8" i="22"/>
  <c r="F15" i="5"/>
  <c r="F16" i="5"/>
  <c r="F17" i="5"/>
  <c r="F18" i="5"/>
  <c r="E19" i="5"/>
  <c r="F19" i="5" s="1"/>
  <c r="E20" i="5"/>
  <c r="F20" i="5" s="1"/>
  <c r="E21" i="5"/>
  <c r="F21" i="5" s="1"/>
  <c r="E22" i="5"/>
  <c r="F22" i="5" s="1"/>
  <c r="G353" i="22" l="1"/>
  <c r="G359" i="22"/>
  <c r="G369" i="22" s="1"/>
  <c r="G355" i="22" l="1"/>
  <c r="G356" i="22" l="1"/>
  <c r="G368" i="22" s="1"/>
  <c r="G370" i="22" s="1"/>
  <c r="G374" i="22" s="1"/>
  <c r="G378" i="22" s="1"/>
  <c r="G377" i="22" l="1"/>
  <c r="K23" i="5" l="1"/>
  <c r="G379" i="22"/>
  <c r="K24" i="5" l="1"/>
  <c r="K25" i="5" s="1"/>
  <c r="C30" i="5" s="1"/>
  <c r="G381" i="22"/>
  <c r="G382" i="22" l="1"/>
  <c r="C31" i="5" s="1"/>
  <c r="E4" i="5" l="1"/>
  <c r="F4" i="5" s="1"/>
  <c r="F23" i="5" s="1"/>
  <c r="F25" i="5" s="1"/>
  <c r="F26" i="5" s="1"/>
  <c r="C29" i="5" s="1"/>
  <c r="C34" i="5" s="1"/>
  <c r="F32" i="5" l="1"/>
  <c r="C35" i="5"/>
  <c r="C36" i="5" s="1"/>
  <c r="F31" i="5" l="1"/>
  <c r="D8" i="28" s="1"/>
  <c r="F8" i="28" s="1"/>
  <c r="H8" i="28" s="1"/>
  <c r="D9" i="28"/>
  <c r="F9" i="28" s="1"/>
  <c r="H9" i="28" s="1"/>
  <c r="E19" i="28" s="1"/>
  <c r="E18" i="28" l="1"/>
  <c r="I18" i="28" s="1"/>
  <c r="I19" i="28" s="1"/>
  <c r="H11" i="2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 3" description="Conexión a la consulta 'Tabla 3' en el libro." type="5" refreshedVersion="8" background="1" saveData="1">
    <dbPr connection="Provider=Microsoft.Mashup.OleDb.1;Data Source=$Workbook$;Location=&quot;Tabla 3&quot;;Extended Properties=&quot;&quot;" command="SELECT * FROM [Tabla 3]"/>
  </connection>
</connections>
</file>

<file path=xl/sharedStrings.xml><?xml version="1.0" encoding="utf-8"?>
<sst xmlns="http://schemas.openxmlformats.org/spreadsheetml/2006/main" count="1683" uniqueCount="1292">
  <si>
    <t>CLIENTE</t>
  </si>
  <si>
    <t>PRODUCTOS</t>
  </si>
  <si>
    <t>CANTIDAD</t>
  </si>
  <si>
    <t>TIPO</t>
  </si>
  <si>
    <t>COSTO</t>
  </si>
  <si>
    <t>TOTAL</t>
  </si>
  <si>
    <t>PROVEEDOR</t>
  </si>
  <si>
    <t>EMT</t>
  </si>
  <si>
    <t>UN</t>
  </si>
  <si>
    <t>TIRA</t>
  </si>
  <si>
    <t>CAJAS ESTANCAS 100*65*65 EMT A01</t>
  </si>
  <si>
    <t>CAJAS ESTANCAS 100*100 EMT</t>
  </si>
  <si>
    <t>BPC</t>
  </si>
  <si>
    <t>MTS</t>
  </si>
  <si>
    <t>SOPORTE ESTRIBO 100*50 ZN.</t>
  </si>
  <si>
    <t>HILO 3/8*3000 ZN.</t>
  </si>
  <si>
    <t>mts</t>
  </si>
  <si>
    <t>TUERCA HEX. 3/8 ZN.</t>
  </si>
  <si>
    <t>GOLILLA PLANA 3/8 ZN.</t>
  </si>
  <si>
    <t>PERNO COCHE 1/4*5/8 ZN.</t>
  </si>
  <si>
    <t>TUERCA HEX. 1/4 ZN.</t>
  </si>
  <si>
    <t>RIEL 42*42*1.9*3000 ZN.</t>
  </si>
  <si>
    <t>TUERCA R/42 3/8 C/RESORTE ZN.</t>
  </si>
  <si>
    <t>PVC</t>
  </si>
  <si>
    <t>PVC 20 MM X 3 MTS</t>
  </si>
  <si>
    <t>ABRAZADERAS OMEGA 20MM</t>
  </si>
  <si>
    <t>PVC 25 MM X 3 MTS</t>
  </si>
  <si>
    <t>TERMINAL PVC 25MM</t>
  </si>
  <si>
    <t>CODO PVC 25 MM</t>
  </si>
  <si>
    <t>ABRAZADERAS OMEGA 25MM</t>
  </si>
  <si>
    <t>PVC 32 MM X 3 MTS</t>
  </si>
  <si>
    <t>TERMINAL PVC 32MM</t>
  </si>
  <si>
    <t>CODO PVC 32 MM</t>
  </si>
  <si>
    <t>ABRAZADERAS OMEGA 32MM</t>
  </si>
  <si>
    <t>CAJAS DE PASO PLASTICA</t>
  </si>
  <si>
    <t>DLP</t>
  </si>
  <si>
    <t>BANDEJA DLP 16X40 MM ZOLODA</t>
  </si>
  <si>
    <t>ACCESORIO 16X40MM ZOLODA INTERIOR</t>
  </si>
  <si>
    <t>ACCESORIO 16X40MM ZOLODA EXTERIOR</t>
  </si>
  <si>
    <t>ACCESORIO 16X40MM ZOLODA PLANO</t>
  </si>
  <si>
    <t>ACCESORIO 16X40MM ZOLODA FINAL</t>
  </si>
  <si>
    <t>ACCESORIO 16X40MM ZOLODA T</t>
  </si>
  <si>
    <t>BANDEJA DLP 100X50 MM ZOLODA</t>
  </si>
  <si>
    <t>ACCESORIO 100X50 MM ZOLODA INTERIOR</t>
  </si>
  <si>
    <t>ACCESORIO 100X50 MM ZOLODA EXTERIOR</t>
  </si>
  <si>
    <t>ACCESORIO 100X50 MM ZOLODA PLANO</t>
  </si>
  <si>
    <t>ACCESORIO 100X50 MM ZOLODA FINAL</t>
  </si>
  <si>
    <t>ACCESORIO 100X50 MM ZOLODA T</t>
  </si>
  <si>
    <t>SOPORTE UNIVERSAL BAJO PERFIL 100x50MM BTKS-100-50-BL</t>
  </si>
  <si>
    <t>SEPARADOR 100X50 2 MTS</t>
  </si>
  <si>
    <t>CAJA CHUQUI PLASTICA</t>
  </si>
  <si>
    <t>RACK</t>
  </si>
  <si>
    <t>RACK 15 U 600 FONDO</t>
  </si>
  <si>
    <t>RACK 12 U 600 FONDO</t>
  </si>
  <si>
    <t>RACK 09 U 600 FONDO</t>
  </si>
  <si>
    <t>RED</t>
  </si>
  <si>
    <t>FALSOS POLO NEGRO X 10 UN</t>
  </si>
  <si>
    <t>TX FACE PLATE SIMPLE INDUSTRIAL</t>
  </si>
  <si>
    <t>TX MODULO RJ45 CAT 6 INDUSTRIAL</t>
  </si>
  <si>
    <t>CABLE UTP CAT 5E</t>
  </si>
  <si>
    <t>CAJAS</t>
  </si>
  <si>
    <t>LG FALSO POLO MOSAIC 1 MODULO 77070</t>
  </si>
  <si>
    <t>TX ADAPTADOR KEYSTONE MOSAIC 1P BLANCO</t>
  </si>
  <si>
    <t>FACEPLATA AUDIO</t>
  </si>
  <si>
    <t xml:space="preserve">FACE PLATE HDMI </t>
  </si>
  <si>
    <t>CERTIFICACION UTP</t>
  </si>
  <si>
    <t>ELECTRICO</t>
  </si>
  <si>
    <t>CABLE LSZH 2.5 MM  B X 100</t>
  </si>
  <si>
    <t>CABLE LSZH 2.5 MM R  X 100</t>
  </si>
  <si>
    <t>CABLE LSZH 2.5 MM V X 100</t>
  </si>
  <si>
    <t>MODULOS MAGIC 5100</t>
  </si>
  <si>
    <t>TABLERO ELECTRICO ELECTRICO SOBRE PUESTO 6 P</t>
  </si>
  <si>
    <t>CABLE DE PODER C-13</t>
  </si>
  <si>
    <t xml:space="preserve">CALOTAS </t>
  </si>
  <si>
    <t>PDU 12 MODULOS 5113</t>
  </si>
  <si>
    <t>CERTIFICACION RED ELECTRICA</t>
  </si>
  <si>
    <t>F.O</t>
  </si>
  <si>
    <t>CASSET PORTA EMPALME 12 F</t>
  </si>
  <si>
    <t>CASSET PORTA EMPALME 24 F</t>
  </si>
  <si>
    <t>TAPAS CIEGAS CABECERAS</t>
  </si>
  <si>
    <t>MANGUITO TERMO FUSION 40MM 50 UNI</t>
  </si>
  <si>
    <t>MEDIA CONVER MAS MODULO SFP SM</t>
  </si>
  <si>
    <t xml:space="preserve">CERTIFICACION </t>
  </si>
  <si>
    <t>FERRETERIA</t>
  </si>
  <si>
    <t>CABLE</t>
  </si>
  <si>
    <t xml:space="preserve">PEGAMENTO PVC </t>
  </si>
  <si>
    <t>BANDEROLA FO</t>
  </si>
  <si>
    <t>VASELINA</t>
  </si>
  <si>
    <t>CASSET PARA ROTULAR</t>
  </si>
  <si>
    <t>PERNOS JAULAS</t>
  </si>
  <si>
    <t>TUERCAS</t>
  </si>
  <si>
    <t>AMARRAS PLASTICAS 100 UN</t>
  </si>
  <si>
    <t>HINCHA AISLADORA</t>
  </si>
  <si>
    <t>TARUGOS 6mm X 100</t>
  </si>
  <si>
    <t>GOLILLA 5/16</t>
  </si>
  <si>
    <t>TARUGOS PALOMA</t>
  </si>
  <si>
    <t>TACO ANCLAJE 3/8 TARUGO BANDEJA</t>
  </si>
  <si>
    <t>TORNILLOS AUTOPERFORANTE 1``</t>
  </si>
  <si>
    <t>TORNILLOS AUTOPERFORANTE 1/2``</t>
  </si>
  <si>
    <t>BROCAS 10MM METAL (CAJAS)</t>
  </si>
  <si>
    <t>BROCAS 6MM METAL (CAJAS)</t>
  </si>
  <si>
    <t>BROCAS 6 MM CONCRETO (montaje )</t>
  </si>
  <si>
    <t>BROCA 8 MM CONCRETO HILLO CORRIDO</t>
  </si>
  <si>
    <t>BROCA CONICA METAL</t>
  </si>
  <si>
    <t>PERNO ANCLAJES 8 MM (BANDEJA - RACK) 6 UN</t>
  </si>
  <si>
    <t>HERRAMIENTAS</t>
  </si>
  <si>
    <t>CINTA DE GOMA</t>
  </si>
  <si>
    <t>DISCO CORTE</t>
  </si>
  <si>
    <t>HOJAS SIERRA</t>
  </si>
  <si>
    <t>LIMA</t>
  </si>
  <si>
    <t>LIJA</t>
  </si>
  <si>
    <t>SILICONA TRANSPARENTE VIDRIOS</t>
  </si>
  <si>
    <t xml:space="preserve">LLAVE PARA TUERAS </t>
  </si>
  <si>
    <t>ESPUMA EXPANDIBLE</t>
  </si>
  <si>
    <t>PLUMON PERMANENTE</t>
  </si>
  <si>
    <t>PUNTAS PHILLIS</t>
  </si>
  <si>
    <t>PINTURA AMARILLAS Y NEGRA</t>
  </si>
  <si>
    <t>ANDAMIOS</t>
  </si>
  <si>
    <t>GUANTES</t>
  </si>
  <si>
    <t>ANTIPARRAS</t>
  </si>
  <si>
    <t>MASCARILLAS 20 UN</t>
  </si>
  <si>
    <t>PROTECTOR AUDITIVOS 2OREJAS MAS GOMAS</t>
  </si>
  <si>
    <t>ESCALAS TIJERAS 2,40MTS</t>
  </si>
  <si>
    <t xml:space="preserve">TALADROS PERCUTOR </t>
  </si>
  <si>
    <t>EXTENCION (CABLE-MODULOS-ENCHUFE)</t>
  </si>
  <si>
    <t>LAUCHA PLASTICA 9 MTS</t>
  </si>
  <si>
    <t>BROCA 25MM CONCRETO / PASADA MURO</t>
  </si>
  <si>
    <t>Alambre Acerado – 1.5 mm</t>
  </si>
  <si>
    <t>VELCRO 22 MTS</t>
  </si>
  <si>
    <t>CABLE SALIDA UPS C-13-C14</t>
  </si>
  <si>
    <t>CABLE SALIDA UPS C-19-C20</t>
  </si>
  <si>
    <t>MODULO C20</t>
  </si>
  <si>
    <t>CORDON ELECTRICO 2,5MM X 3 F,N,T</t>
  </si>
  <si>
    <t>MODULO C19</t>
  </si>
  <si>
    <t>MODULOS NORMAL 5113</t>
  </si>
  <si>
    <t>JUMPER  DUPLEX  OM3 LC-SC 5 MTS</t>
  </si>
  <si>
    <t>CURVAS CABLO FIL</t>
  </si>
  <si>
    <t>ACCESORIOS VARIOS</t>
  </si>
  <si>
    <t>ESPIRAL DE CABLES</t>
  </si>
  <si>
    <t>un</t>
  </si>
  <si>
    <t>Plastico</t>
  </si>
  <si>
    <t>KIT DE LIMPIEZA LIQUIDO + PAÑOS</t>
  </si>
  <si>
    <t>CABLE PIN 4X24 AMG BLANCO X 100</t>
  </si>
  <si>
    <t>MODULO RJ12 CAT 3 BLANCO</t>
  </si>
  <si>
    <t>GRAMPAS X 25</t>
  </si>
  <si>
    <t>CORCHETES</t>
  </si>
  <si>
    <t>CORCHETERA</t>
  </si>
  <si>
    <t>ROSETAS TELEFONICAS</t>
  </si>
  <si>
    <t>U0</t>
  </si>
  <si>
    <t>UF</t>
  </si>
  <si>
    <t>NETO</t>
  </si>
  <si>
    <t xml:space="preserve">Cablofil Bandeja rejilla 200x65X3000mm </t>
  </si>
  <si>
    <t>Varilla roscada M10X3000</t>
  </si>
  <si>
    <t>Unión rapida Altura 65 y 105mm - zincada</t>
  </si>
  <si>
    <t>Unión grapa con perno</t>
  </si>
  <si>
    <t>Soporte puente 3000mm</t>
  </si>
  <si>
    <t xml:space="preserve">TIRA </t>
  </si>
  <si>
    <t>RUEDAS</t>
  </si>
  <si>
    <t>PATCH PANEL PLACA VACIA 1U TX</t>
  </si>
  <si>
    <t>MODULOS CAT 6 NEGRO TX</t>
  </si>
  <si>
    <t>PATCH CORDS 0,5 MT TX</t>
  </si>
  <si>
    <t>MODULOS CAT 6 NEGRO LV</t>
  </si>
  <si>
    <t>PATCH CORDS 1 MT TX</t>
  </si>
  <si>
    <t>USER CORDS 2 MTS TX</t>
  </si>
  <si>
    <t>PATCH PANEL PLACA VACIA 1U LV</t>
  </si>
  <si>
    <t>MUFA</t>
  </si>
  <si>
    <t>CABLE UTP CAT 6 INT  LSZH TX</t>
  </si>
  <si>
    <t>EMT 25MM X 3 MTS</t>
  </si>
  <si>
    <t>ABRAZADERAS CADDY EMT 25MM</t>
  </si>
  <si>
    <t>TERMINALES 25MM EMT</t>
  </si>
  <si>
    <t>COPLA 25MM EMT</t>
  </si>
  <si>
    <t>CURVAS 25MM EMT</t>
  </si>
  <si>
    <t>FLEXIBLE 25MM 30 MTS</t>
  </si>
  <si>
    <t>TERMINAL FLEXIBLE 25MM</t>
  </si>
  <si>
    <t>EMT 20MM X 3 MTS</t>
  </si>
  <si>
    <t>ABRAZADERAS CADDY EMT 20MM</t>
  </si>
  <si>
    <t>TERMINAL 20MM EMT</t>
  </si>
  <si>
    <t>COPLA 20MM EMT</t>
  </si>
  <si>
    <t>CURVA 20MM EMT</t>
  </si>
  <si>
    <t>EMT 32MM X 3 MTS</t>
  </si>
  <si>
    <t>ABRAZADERAS CADDY EMT 32MM</t>
  </si>
  <si>
    <t>TERMINALES 32MM EMT</t>
  </si>
  <si>
    <t>COPLA 32MM EMT</t>
  </si>
  <si>
    <t>CURVAS 32MM EMT</t>
  </si>
  <si>
    <t>MODULO CAT 6 BLANCO TX</t>
  </si>
  <si>
    <t>MODULO CAT 6 BLANCO LV</t>
  </si>
  <si>
    <t>RACK 18 U 600 FONDO</t>
  </si>
  <si>
    <t>RIEL DIN 1</t>
  </si>
  <si>
    <t>FIBRA OPTICA SM 6 F EXTERIOR  + INSTALACION + FERRETERIA</t>
  </si>
  <si>
    <t>MODULO SFP SM</t>
  </si>
  <si>
    <t>CHASIS CONVERT 14 SLOT</t>
  </si>
  <si>
    <t>ALCOHOL + TOALLITAS</t>
  </si>
  <si>
    <t xml:space="preserve"> FUSION FO CABECERA</t>
  </si>
  <si>
    <t xml:space="preserve"> FUSION FO MUFA</t>
  </si>
  <si>
    <t>tablero</t>
  </si>
  <si>
    <t>MONTAJE DE POSTE + HOYURA</t>
  </si>
  <si>
    <t xml:space="preserve">RED ELECTRICA POSTE </t>
  </si>
  <si>
    <t>EMPLAME INTERIOR</t>
  </si>
  <si>
    <t>TRASLADO DE POSTE</t>
  </si>
  <si>
    <t>CAMNION</t>
  </si>
  <si>
    <t>POSTE MAS TABLERO MAS RED ELECTRICA Y EMPALME</t>
  </si>
  <si>
    <t>tensores</t>
  </si>
  <si>
    <t>anclaje mural</t>
  </si>
  <si>
    <t>CINTA MASKEY</t>
  </si>
  <si>
    <t>TORNILLOS 6mm</t>
  </si>
  <si>
    <t>PERNOS O TRONILLOS ESPECIALES</t>
  </si>
  <si>
    <t>POSTACION</t>
  </si>
  <si>
    <t>Hilite de 12mts en 4mm espesor</t>
  </si>
  <si>
    <t>estructura para antenas</t>
  </si>
  <si>
    <t>Dado de hormigon con materiales e instalacion</t>
  </si>
  <si>
    <t>Canastillo 7/8</t>
  </si>
  <si>
    <t>Montaje de poste</t>
  </si>
  <si>
    <t>montaje de tablero</t>
  </si>
  <si>
    <t>camion por montaje de poste + tablero + antenas</t>
  </si>
  <si>
    <t>EMPALME ELECTRICOS</t>
  </si>
  <si>
    <t>cto para otros postes</t>
  </si>
  <si>
    <t>cto tableros</t>
  </si>
  <si>
    <t>ROLLO</t>
  </si>
  <si>
    <t>UNION BANDEJA 100X50</t>
  </si>
  <si>
    <t>DESCRIPCION</t>
  </si>
  <si>
    <t>VALOR USD</t>
  </si>
  <si>
    <t>VALOR CLP</t>
  </si>
  <si>
    <t>IVA</t>
  </si>
  <si>
    <t>Total Costo</t>
  </si>
  <si>
    <t>FIBRA OPTICA OM3 INT 6 F</t>
  </si>
  <si>
    <t>CADENA</t>
  </si>
  <si>
    <t xml:space="preserve">GOLILLAS </t>
  </si>
  <si>
    <t>TIJERA ELECTRICA 12 MTS</t>
  </si>
  <si>
    <t xml:space="preserve">TRASLADO TIJERA </t>
  </si>
  <si>
    <t>MES</t>
  </si>
  <si>
    <t>HH Tecnicos</t>
  </si>
  <si>
    <t>Dias</t>
  </si>
  <si>
    <t>Tecnicos</t>
  </si>
  <si>
    <t>Total HH Tecnicos</t>
  </si>
  <si>
    <t>Colacion</t>
  </si>
  <si>
    <t>Movilizacion</t>
  </si>
  <si>
    <t>Total Colacion y Movilizacion</t>
  </si>
  <si>
    <t>Jefe de Proyecto</t>
  </si>
  <si>
    <t>Colacion y Movilizacion</t>
  </si>
  <si>
    <t>KM Vuelta</t>
  </si>
  <si>
    <t>KM Ida</t>
  </si>
  <si>
    <t>Movimiento Ciudad</t>
  </si>
  <si>
    <t>Total KM</t>
  </si>
  <si>
    <t>Valor Petroleo</t>
  </si>
  <si>
    <t>Litros de Petroleo (8)</t>
  </si>
  <si>
    <t>Total Petroleo</t>
  </si>
  <si>
    <t>Peaje</t>
  </si>
  <si>
    <t>Total Peaje</t>
  </si>
  <si>
    <t>Combustible  (Multicpliado por Dias de HH Tecnico)</t>
  </si>
  <si>
    <t>Peaje  (Multicpliado por Dias de HH Tecnico)</t>
  </si>
  <si>
    <t>Peaje Ida</t>
  </si>
  <si>
    <t>Peaje Vuelta</t>
  </si>
  <si>
    <t>Gastos Extras</t>
  </si>
  <si>
    <t>Camioneta</t>
  </si>
  <si>
    <t>Estacionamiento</t>
  </si>
  <si>
    <t>Estadia</t>
  </si>
  <si>
    <t>Logistica</t>
  </si>
  <si>
    <t>Total Gastros Extras</t>
  </si>
  <si>
    <t>Total Materiales</t>
  </si>
  <si>
    <t>Materiales</t>
  </si>
  <si>
    <t>% Materiales</t>
  </si>
  <si>
    <t>Total Herramientas</t>
  </si>
  <si>
    <t>Costo Infraestructura</t>
  </si>
  <si>
    <t>Jefe de Proyectos</t>
  </si>
  <si>
    <t>Combustible</t>
  </si>
  <si>
    <t>Gastros Extras</t>
  </si>
  <si>
    <t>Herramientas</t>
  </si>
  <si>
    <t>Comercial</t>
  </si>
  <si>
    <t>% Comercial</t>
  </si>
  <si>
    <t>Costo Comercial</t>
  </si>
  <si>
    <t>Total</t>
  </si>
  <si>
    <t>% Ganancia</t>
  </si>
  <si>
    <t>Neto</t>
  </si>
  <si>
    <t>Costo + Comercial</t>
  </si>
  <si>
    <t>CLP Ganancia</t>
  </si>
  <si>
    <t>CLP % Materiales</t>
  </si>
  <si>
    <t>TOTAL NETO</t>
  </si>
  <si>
    <t>Costo + Venta</t>
  </si>
  <si>
    <t>% Venta</t>
  </si>
  <si>
    <t>Costo</t>
  </si>
  <si>
    <t>CLP Venta</t>
  </si>
  <si>
    <t>HH Ingeniero</t>
  </si>
  <si>
    <t>Costo + HH</t>
  </si>
  <si>
    <t>Equipos</t>
  </si>
  <si>
    <t>Configuraciones</t>
  </si>
  <si>
    <t>Infraestructura</t>
  </si>
  <si>
    <t>Bruto</t>
  </si>
  <si>
    <t>Total Proyecto</t>
  </si>
  <si>
    <t>Colacion y Movilizacion (Multicpliado por Dias y cantidad de Tecnicos)</t>
  </si>
  <si>
    <t>Traslado poste</t>
  </si>
  <si>
    <t>perfil metalico</t>
  </si>
  <si>
    <t>CONFIG SWITCH</t>
  </si>
  <si>
    <t>INSTALACION SWITCH</t>
  </si>
  <si>
    <t>Resguardo Tecnicos - inst</t>
  </si>
  <si>
    <t>Costo Tecnico dias</t>
  </si>
  <si>
    <t>AIRE ACONDICIONADO</t>
  </si>
  <si>
    <t>Aire Acondicionado 18.000 BUT</t>
  </si>
  <si>
    <t>TRASLADO</t>
  </si>
  <si>
    <t>HABILITACION</t>
  </si>
  <si>
    <t>VALOR UF</t>
  </si>
  <si>
    <t>VALOR CLP UNI</t>
  </si>
  <si>
    <t>TOTAL_NETO</t>
  </si>
  <si>
    <t>PANTALLA</t>
  </si>
  <si>
    <t>ESCRITORIO</t>
  </si>
  <si>
    <t>SILLA</t>
  </si>
  <si>
    <t>CONF_NVR</t>
  </si>
  <si>
    <t>BACK DE CONFIG</t>
  </si>
  <si>
    <t>SERVIDORES</t>
  </si>
  <si>
    <t>CONF_WIFI</t>
  </si>
  <si>
    <t>MARCO 100000</t>
  </si>
  <si>
    <t>SWITCH</t>
  </si>
  <si>
    <t>NUEVOS</t>
  </si>
  <si>
    <t>CHASIS DE CONVERSORES</t>
  </si>
  <si>
    <t>EXISTENTES</t>
  </si>
  <si>
    <t>PC/ESTRCTURA VIDEO WALL</t>
  </si>
  <si>
    <t>solo config no grabacion en servidore de camaras- servidor wifi respaldo de config</t>
  </si>
  <si>
    <t>LOGISTICA + HH TECNICA</t>
  </si>
  <si>
    <t>LT</t>
  </si>
  <si>
    <t>HH_ING</t>
  </si>
  <si>
    <t>TRASL-HABIL</t>
  </si>
  <si>
    <t xml:space="preserve">LOGEO AVILIGION </t>
  </si>
  <si>
    <t>% Ganancia LT</t>
  </si>
  <si>
    <t>CONFIG PANTALLAS</t>
  </si>
  <si>
    <t>HH</t>
  </si>
  <si>
    <t>WIFI LEVANTAR</t>
  </si>
  <si>
    <t>INFRAESTRUCTURA</t>
  </si>
  <si>
    <t>BACK UP</t>
  </si>
  <si>
    <t xml:space="preserve">TRASLADAR </t>
  </si>
  <si>
    <t>DÓLAR</t>
  </si>
  <si>
    <t xml:space="preserve"> </t>
  </si>
  <si>
    <t xml:space="preserve">costos </t>
  </si>
  <si>
    <t xml:space="preserve">costo todo </t>
  </si>
  <si>
    <t>cotización</t>
  </si>
  <si>
    <t>Descripción</t>
  </si>
  <si>
    <t>Costo pesos</t>
  </si>
  <si>
    <t>dólar costo</t>
  </si>
  <si>
    <t>pasado todo a dólar</t>
  </si>
  <si>
    <t>% TRANS unica vez</t>
  </si>
  <si>
    <t>VENTA trans a Movistar</t>
  </si>
  <si>
    <t>TOTAL A TF</t>
  </si>
  <si>
    <t>valor clp trans</t>
  </si>
  <si>
    <t>TF + 14 %</t>
  </si>
  <si>
    <t>Trabajo anterior</t>
  </si>
  <si>
    <t>INST_CAM</t>
  </si>
  <si>
    <t>INST_PANTALLA</t>
  </si>
  <si>
    <t>Pl</t>
  </si>
  <si>
    <t>MORDASA COLA DE CHACHO</t>
  </si>
  <si>
    <t>CONFIG TEL</t>
  </si>
  <si>
    <t>JUMPER  DUPLEX  SM LC-LC 2 MTS CRUZADA</t>
  </si>
  <si>
    <t>JUMPER  DUPLEX  SM LC-SC 3 MTS</t>
  </si>
  <si>
    <t>JUMPER  DUPLEX  SM LC-LC 2 MTS PIGTAIL</t>
  </si>
  <si>
    <t>MINI PLACAS SM LC 12 GUIAS</t>
  </si>
  <si>
    <t>PERNOS DE ANCLAJE</t>
  </si>
  <si>
    <t>CAJA CHUQUI METALICA</t>
  </si>
  <si>
    <t>Column1</t>
  </si>
  <si>
    <t>Column2</t>
  </si>
  <si>
    <t>Column3</t>
  </si>
  <si>
    <t>Unidad de fomento (UF)</t>
  </si>
  <si>
    <t>Ver serie</t>
  </si>
  <si>
    <t>Indice de valor promedio (IVP)</t>
  </si>
  <si>
    <t>Dólar observado</t>
  </si>
  <si>
    <t>Euro</t>
  </si>
  <si>
    <t>Índice de Tipo de Cambio Multilateral</t>
  </si>
  <si>
    <t>Otros tipos de cambio nominal</t>
  </si>
  <si>
    <t>Ver lista</t>
  </si>
  <si>
    <t/>
  </si>
  <si>
    <t>Yen</t>
  </si>
  <si>
    <t>Otras paridades</t>
  </si>
  <si>
    <t>Tasa de interés interbancaria (TIB)</t>
  </si>
  <si>
    <t>ND</t>
  </si>
  <si>
    <t>Tasas promedio del sistema financiero (TIP)</t>
  </si>
  <si>
    <t>Onza troy de Oro</t>
  </si>
  <si>
    <t>Onza troy de plata</t>
  </si>
  <si>
    <t>Libra de Cobre</t>
  </si>
  <si>
    <t>Indice de Precios al Consumidor (IPC)</t>
  </si>
  <si>
    <t>Tasa Política Monetaria (TPM)</t>
  </si>
  <si>
    <t>Unidad Tributaria Mensual (UTM)</t>
  </si>
  <si>
    <t>PIB</t>
  </si>
  <si>
    <t>Imacec</t>
  </si>
  <si>
    <t>Reservas</t>
  </si>
  <si>
    <t>Tasa de desempleo</t>
  </si>
  <si>
    <t>Código</t>
  </si>
  <si>
    <t>Descripción del artículo</t>
  </si>
  <si>
    <t>Cantidad</t>
  </si>
  <si>
    <t>Precio por unidad</t>
  </si>
  <si>
    <t>%Desc</t>
  </si>
  <si>
    <t>Total (ML)</t>
  </si>
  <si>
    <t>P06686</t>
  </si>
  <si>
    <t>TK ABRAZADERA GALVANIZADA RUC P/TUBERIA ANSI 1</t>
  </si>
  <si>
    <t>P06684</t>
  </si>
  <si>
    <t>TK ABRAZADERA GALVANIZADA RUC P/TUBERIA ANSI 1/2</t>
  </si>
  <si>
    <t>P06685</t>
  </si>
  <si>
    <t>TK ABRAZADERA GALVANIZADA RUC P/TUBERIA ANSI 3/4</t>
  </si>
  <si>
    <t>P06609</t>
  </si>
  <si>
    <t>TK BOQUILLA GALVANIZADA 1 ANSI C80.1</t>
  </si>
  <si>
    <t>P06597</t>
  </si>
  <si>
    <t>TK BOQUILLA GALVANIZADA 1/2 ANSI C80.1</t>
  </si>
  <si>
    <t>P06603</t>
  </si>
  <si>
    <t>TK BOQUILLA GALVANIZADA 3/4 ANSI C80.1</t>
  </si>
  <si>
    <t>P06608</t>
  </si>
  <si>
    <t>TK CABEZA SERVICIO CON HILO 1 ANSI C80.1</t>
  </si>
  <si>
    <t>P06596</t>
  </si>
  <si>
    <t>TK CABEZA SERVICIO CON HILO 1/2 ANSI C80.1</t>
  </si>
  <si>
    <t>P06602</t>
  </si>
  <si>
    <t>TK CABEZA SERVICIO CON HILO 3/4 ANSI C80.1</t>
  </si>
  <si>
    <t>P06702</t>
  </si>
  <si>
    <t>TK CONDULET C TUB ANSI C/TAPA Y EMP DE ALUMINIO 1</t>
  </si>
  <si>
    <t>P06700</t>
  </si>
  <si>
    <t>TK CONDULET C TUB ANSI C/TAPA Y EMP DE ALUMINIO 1/2</t>
  </si>
  <si>
    <t>P06701</t>
  </si>
  <si>
    <t>TK CONDULET C TUB ANSI C/TAPA Y EMP DE ALUMINIO 3/4</t>
  </si>
  <si>
    <t>P06697</t>
  </si>
  <si>
    <t>TK CONDULET LB TUB ANSI C/TAPA Y EMP DE ALUMIN 1/2</t>
  </si>
  <si>
    <t>P06698</t>
  </si>
  <si>
    <t>TK CONDULET LB TUB ANSI C/TAPA Y EMP DE ALUMIN 3/4</t>
  </si>
  <si>
    <t>P06699</t>
  </si>
  <si>
    <t>TK CONDULET LB TUB ANSI C/TAPA Y EMP DE ALUMINIO 1</t>
  </si>
  <si>
    <t>P06694</t>
  </si>
  <si>
    <t>TK CONDULET LL TUB ANSI C/TAPA Y EMP DE ALUMIN 1/2</t>
  </si>
  <si>
    <t>P06695</t>
  </si>
  <si>
    <t>TK CONDULET LL TUB ANSI C/TAPA Y EMP DE ALUMIN 3/4</t>
  </si>
  <si>
    <t>P06696</t>
  </si>
  <si>
    <t>TK CONDULET LL TUB ANSI C/TAPA Y EMP DE ALUMINIO 1</t>
  </si>
  <si>
    <t>P06691</t>
  </si>
  <si>
    <t>TK CONDULET LR TUB ANSI C/TAPA Y EMP DE ALUMIN 1/2</t>
  </si>
  <si>
    <t>P06692</t>
  </si>
  <si>
    <t>TK CONDULET LR TUB ANSI C/TAPA Y EMP DE ALUMIN 3/4</t>
  </si>
  <si>
    <t>P06693</t>
  </si>
  <si>
    <t>TK CONDULET LR TUB ANSI C/TAPA Y EMP DE ALUMINIO 1</t>
  </si>
  <si>
    <t>P06690</t>
  </si>
  <si>
    <t>TK CONDULET T TUB ANSI C/TAPA Y EMP DE ALUMINIO 1</t>
  </si>
  <si>
    <t>P06688</t>
  </si>
  <si>
    <t>TK CONDULET T TUB ANSI C/TAPA Y EMP DE ALUMINIO 1/2</t>
  </si>
  <si>
    <t>P06689</t>
  </si>
  <si>
    <t>TK CONDULET T TUB ANSI C/TAPA Y EMP DE ALUMINIO 3/4</t>
  </si>
  <si>
    <t>P06594</t>
  </si>
  <si>
    <t>TK CONTRATUERCA GALVANIZADA 1/2 ANSI C80.1</t>
  </si>
  <si>
    <t>P06607</t>
  </si>
  <si>
    <t>TK COPLA GALVANIZADA 1 ANSI C80.1</t>
  </si>
  <si>
    <t>P06601</t>
  </si>
  <si>
    <t>TK COPLA GALVANIZADA 3/4 ANSI C80.1</t>
  </si>
  <si>
    <t>P06595</t>
  </si>
  <si>
    <t>TK COPLA GALVANIZADO 1/2 ANSI C80.1</t>
  </si>
  <si>
    <t>P06605</t>
  </si>
  <si>
    <t>TK CURVA GALVANIZADA 1 ANSI C80.1</t>
  </si>
  <si>
    <t>P06593</t>
  </si>
  <si>
    <t>TK CURVA GALVANIZADA 1/2 ANSI C80.1</t>
  </si>
  <si>
    <t>P06599</t>
  </si>
  <si>
    <t>TK CURVA GALVANIZADA 3/4 ANSI C80.1</t>
  </si>
  <si>
    <t>P06704</t>
  </si>
  <si>
    <t>TK HILO CORRIDO ELECTROGALV 1/2 3MTS P/TUBERIA ANSI</t>
  </si>
  <si>
    <t>P08430</t>
  </si>
  <si>
    <t>TK HILO CORRIDO ELECTROGALV 3/8 3 MTS P/TUBERIA ANSI</t>
  </si>
  <si>
    <t>P06706</t>
  </si>
  <si>
    <t>TK MORDAZA 1/2 GALVANIZADA P/HILO CORRIDO TUB ANSI</t>
  </si>
  <si>
    <t>P06687</t>
  </si>
  <si>
    <t>TK RIEL RUC PRE-GALVANIZADO P/TUBERIA ANSI 42X42X1.5MM X 3 MTS</t>
  </si>
  <si>
    <t>P06604</t>
  </si>
  <si>
    <t>TK TUBERIA GALVANIZADA 1 ANSI C80.1 TIRA 3 MTS</t>
  </si>
  <si>
    <t>P06592</t>
  </si>
  <si>
    <t>TK TUBERIA GALVANIZADA 1/2 ANSI C80.1 TIRA 3 MTS</t>
  </si>
  <si>
    <t>P06598</t>
  </si>
  <si>
    <t>TK TUBERIA GALVANIZADA 3/4 ANSI C80.1 TIRA 3 MTS</t>
  </si>
  <si>
    <t>P06606</t>
  </si>
  <si>
    <t>TK TUERCA GALVANIZADA 1 ANSI C80.1</t>
  </si>
  <si>
    <t>P06600</t>
  </si>
  <si>
    <t>TK TUERCA GALVANIZADA 3/4 ANSI C80.1</t>
  </si>
  <si>
    <t>P06703</t>
  </si>
  <si>
    <t>TK TUERCA RIEL RESORTE 1/2 GALV. ANSI C80.1</t>
  </si>
  <si>
    <t>P01186</t>
  </si>
  <si>
    <t>LV FACE PLATE SIMPLE 42080-1WS</t>
  </si>
  <si>
    <t>P01216</t>
  </si>
  <si>
    <t>LV MODULO RJ45 CAT 6 BLANCO 61110-RW6</t>
  </si>
  <si>
    <t>P01926</t>
  </si>
  <si>
    <t>LV PLACA PANEL 24P 49255-H24</t>
  </si>
  <si>
    <t>P01925</t>
  </si>
  <si>
    <t>LV MODULO RJ45 CAT 6 NEGRO 61110-RE6</t>
  </si>
  <si>
    <t>P07206</t>
  </si>
  <si>
    <t>LG CAJA CHUQUI LIBRE HALOGENOS 089394CH</t>
  </si>
  <si>
    <t>P05610</t>
  </si>
  <si>
    <t>LV CABLE U/FTP CAT 6A LSZH 23 AWG VIOLETA 500 MTS AC6U/FTP-HF1-ECA-500VT</t>
  </si>
  <si>
    <t>P02721</t>
  </si>
  <si>
    <t>LV PLACA PANEL F/UTP 24P 4S255-S24</t>
  </si>
  <si>
    <t>P05608</t>
  </si>
  <si>
    <t>LV MODULO ATLAS-X1 RJ45 CAT 6A F/UTP BLANCO 6ASJK-RW6</t>
  </si>
  <si>
    <t>P05609</t>
  </si>
  <si>
    <t>LV MODULO ATLAS-X1 RJ45 CAT 6A F/UTP NEGRO 6ASJK-RE6</t>
  </si>
  <si>
    <t>P07510</t>
  </si>
  <si>
    <t>LV CORD CAT 6A U/FTP 0.9 MTS BLANCO LSZH HIGH FLEX H6A10-03W</t>
  </si>
  <si>
    <t>P07754</t>
  </si>
  <si>
    <t>LV CORD CAT 6A U/FTP 2.1 MTS BLANCO LSZH HIGH FLEX H6A10-07W</t>
  </si>
  <si>
    <t>P07755</t>
  </si>
  <si>
    <t>LV CORD CAT 6A U/FTP 3 MTS BLANCO LSZH HIGH FLEX H6A10-10W</t>
  </si>
  <si>
    <t>P04605</t>
  </si>
  <si>
    <t>LV CORD CAT 6A U/FTP 6.1 MTS BLANCO LSZH HIGH FLEX H6A10-20W</t>
  </si>
  <si>
    <t>P07508</t>
  </si>
  <si>
    <t>LV CORD CAT 6A U/FTP 0.3 MTS BLANCO LSZH HIGH FLEX H6A10-01W</t>
  </si>
  <si>
    <t>P07509</t>
  </si>
  <si>
    <t>LV CORD CAT 6A U/FTP 0.6 MTS BLANCO LSZH HIGH FLEX H6A10-02W</t>
  </si>
  <si>
    <t>P04702</t>
  </si>
  <si>
    <t>LV CORD CAT 6 UTP 0.3 MTS BLANCO LSZH HIGH FLEX 6H460-01W</t>
  </si>
  <si>
    <t>P04703</t>
  </si>
  <si>
    <t>LV CORD CAT 6 UTP 0.6 MTS BLANCO LSZH HIGH FLEX 6H460-02W</t>
  </si>
  <si>
    <t>P05565</t>
  </si>
  <si>
    <t>TK EMT ABRAZADERA 20MM TIPO CADDY</t>
  </si>
  <si>
    <t>P05563</t>
  </si>
  <si>
    <t>TK EMT COPLA 20MM</t>
  </si>
  <si>
    <t>P05567</t>
  </si>
  <si>
    <t>TK EMT CURVA 20MM</t>
  </si>
  <si>
    <t>P05561</t>
  </si>
  <si>
    <t>TK EMT TERMINAL 20MM</t>
  </si>
  <si>
    <t>P07872</t>
  </si>
  <si>
    <t>TK EMT TUBERIA 20MM 4322 TIRA 3 MTS CURVABLE</t>
  </si>
  <si>
    <t>P05566</t>
  </si>
  <si>
    <t>TK EMT ABRAZADERA 25MM TIPO CADDY</t>
  </si>
  <si>
    <t>P05564</t>
  </si>
  <si>
    <t>TK EMT COPLA 25MM</t>
  </si>
  <si>
    <t>P05568</t>
  </si>
  <si>
    <t>TK EMT CURVA 25MM</t>
  </si>
  <si>
    <t>P05562</t>
  </si>
  <si>
    <t>TK EMT TERMINAL 25MM</t>
  </si>
  <si>
    <t>P07873</t>
  </si>
  <si>
    <t>TK EMT TUBERIA 25MM 4322 TIRA 3 MTS CURVABLE</t>
  </si>
  <si>
    <t>P05617</t>
  </si>
  <si>
    <t>TK CAJA PRE-GALVANIZADA A-01 100X65X65MM</t>
  </si>
  <si>
    <t>P05618</t>
  </si>
  <si>
    <t>TK CAJA PRE-GALVANIZADA A-011 100X100X65MM</t>
  </si>
  <si>
    <t>P05624</t>
  </si>
  <si>
    <t>TK CONDUIT FLEXIBLE METALICO PVC 20MM 30MTS</t>
  </si>
  <si>
    <t>P05625</t>
  </si>
  <si>
    <t>TK CONECTOR METALICO RECTO CONDUIT FLEX 20MM</t>
  </si>
  <si>
    <t>P05555</t>
  </si>
  <si>
    <t>TK CONDUIT FLEXIBLE METALICO PVC 25MM 30 MTS</t>
  </si>
  <si>
    <t>P05557</t>
  </si>
  <si>
    <t>TK CONECTOR METALICO RECTO CONDUIT FLEX 25MM</t>
  </si>
  <si>
    <t>P01824</t>
  </si>
  <si>
    <t>ZL ANGULO EXTERIOR 100X50MM LS-100-50-BL</t>
  </si>
  <si>
    <t>P01823</t>
  </si>
  <si>
    <t>ZL ANGULO INTERIOR 100X50MM RI-100-50-BL</t>
  </si>
  <si>
    <t>P01825</t>
  </si>
  <si>
    <t>ZL ANGULO PLANO 100X50MM ELE-100-50-BL</t>
  </si>
  <si>
    <t>P01959</t>
  </si>
  <si>
    <t>ZL BANDEJA 100X50MM BLANCO X MTS CKD-100-50</t>
  </si>
  <si>
    <t>P01826</t>
  </si>
  <si>
    <t>ZL DERIVACION T 100X50MM TE-100-50-BL</t>
  </si>
  <si>
    <t>P01966</t>
  </si>
  <si>
    <t>ZL TABIQUE SEPARADOR 100X50MM SE-D-50-BL</t>
  </si>
  <si>
    <t>P01827</t>
  </si>
  <si>
    <t>ZL TAPA EXTREMO 100X50MM E-100-50-BL</t>
  </si>
  <si>
    <t>P01830</t>
  </si>
  <si>
    <t>ZL UNION CABLE CANAL 100X50MM U-100-50-BL</t>
  </si>
  <si>
    <t>P01965</t>
  </si>
  <si>
    <t>ZL BANDEJA 40X16MM TP-4016-BL MTS</t>
  </si>
  <si>
    <t>P01816</t>
  </si>
  <si>
    <t>ZL ANGULO EXTERIOR 40X16MM LS-4016-BL</t>
  </si>
  <si>
    <t>P01815</t>
  </si>
  <si>
    <t>ZL ANGULO INTERIOR 40X16MM RI-4016-BL</t>
  </si>
  <si>
    <t>P01817</t>
  </si>
  <si>
    <t>ZL ANGULO PLANO 40X16MM ELE-4016-BL</t>
  </si>
  <si>
    <t>P01818</t>
  </si>
  <si>
    <t>ZL DERIVACION T 40X16MM TE-4016-BL</t>
  </si>
  <si>
    <t>P01819</t>
  </si>
  <si>
    <t>ZL TAPA EXTREMO 40X16MM E-4016-BL</t>
  </si>
  <si>
    <t>P01962</t>
  </si>
  <si>
    <t>ZL BANDEJA 20X10MM EC-2010BS MTS</t>
  </si>
  <si>
    <t>P01808</t>
  </si>
  <si>
    <t>ZL ANGULO EXTERIOR 20X10MM LS-2010-BL</t>
  </si>
  <si>
    <t>P01807</t>
  </si>
  <si>
    <t>ZL ANGULO INTERIOR 20X10MM RI-2010-BL</t>
  </si>
  <si>
    <t>P01809</t>
  </si>
  <si>
    <t>ZL ANGULO PLANO 20X10MM ELE-2010-BL</t>
  </si>
  <si>
    <t>P01810</t>
  </si>
  <si>
    <t>ZL DERIVACION T 20X10MM TE-2010-BL</t>
  </si>
  <si>
    <t>P01811</t>
  </si>
  <si>
    <t>ZL TAPA EXTREMO 20X10MM E-2010-BL</t>
  </si>
  <si>
    <t>P01697</t>
  </si>
  <si>
    <t>TX CABLE UTP CAT 6 23 AWG GRIS 305 MTS</t>
  </si>
  <si>
    <t>P04498</t>
  </si>
  <si>
    <t>TX PLACA PANEL 24P X 1U B5</t>
  </si>
  <si>
    <t>P04872</t>
  </si>
  <si>
    <t>TX FACE PLATE HORIZONTAL 1-2-3 PUESTOS BLANCO</t>
  </si>
  <si>
    <t>P01928</t>
  </si>
  <si>
    <t>TX CORD CAT 6 UTP 0.5 MTS GRIS LSZH</t>
  </si>
  <si>
    <t>P01610</t>
  </si>
  <si>
    <t>TX CORD CAT 6 UTP 2 MTS GRIS LSZH</t>
  </si>
  <si>
    <t>P01222</t>
  </si>
  <si>
    <t>LV PATCH PANEL 24P CAT 6 69586-U24</t>
  </si>
  <si>
    <t>P01130</t>
  </si>
  <si>
    <t>TX PATCH PANEL 24P CAT 6</t>
  </si>
  <si>
    <t>P03171</t>
  </si>
  <si>
    <t>TX CABLE FO MM 6F OM3 INT/EXT LSZH AQUA GJFXZY</t>
  </si>
  <si>
    <t>P01803</t>
  </si>
  <si>
    <t>TX CABECERA EASYFIBER MINI MURAL-RIEL DIN 12F</t>
  </si>
  <si>
    <t>P03397</t>
  </si>
  <si>
    <t>TX MINIPLACA EASYFIBER 6 GUIAS LC DUPLEX MM OM3</t>
  </si>
  <si>
    <t>P06539</t>
  </si>
  <si>
    <t>TX PIGTAILS KIT 12F MM OM3 LC UPC LSZH 900 UM 1 MT TIA-598</t>
  </si>
  <si>
    <t>P01922</t>
  </si>
  <si>
    <t>TX JUMPER DX LC/LC MM OM3 UPC LSZH 1 MT 2MM AQUA</t>
  </si>
  <si>
    <t>P00500</t>
  </si>
  <si>
    <t>ECO ZAPATILLA 19X12 MODULOS</t>
  </si>
  <si>
    <t>P00367</t>
  </si>
  <si>
    <t>BT MODULO MAGIC 10A SEGURIDAD HEMBRA BLANCO 5100</t>
  </si>
  <si>
    <t>P07027</t>
  </si>
  <si>
    <t>BT ENCHUFE DOBLE 2P+T 10A MODUS PLUS ARMADA BLANCO 1208BN</t>
  </si>
  <si>
    <t>P06048</t>
  </si>
  <si>
    <t>CABLE H07Z1-K LIBRE HALOGENO 1X2.5MM BLANCO 100 MTS NAC</t>
  </si>
  <si>
    <t>P06049</t>
  </si>
  <si>
    <t>CABLE H07Z1-K LIBRE HALOGENO 1X2.5MM ROJO 100 MTS NAC</t>
  </si>
  <si>
    <t>P06050</t>
  </si>
  <si>
    <t>CABLE H07Z1-K LIBRE HALOGENO 1X2.5MM VERDE 100 MTS NAC</t>
  </si>
  <si>
    <t>P07042</t>
  </si>
  <si>
    <t>CORDON FLEXIBLE RV-K 3X1.5MM NEGRO</t>
  </si>
  <si>
    <t>P09133</t>
  </si>
  <si>
    <t>CORDON LIBRE HALOGENO RZ1-K 3X2.5MM NEGRO</t>
  </si>
  <si>
    <t>P05374</t>
  </si>
  <si>
    <t>ECO CABLE PODER C13/TIPO MAGIC SEGURIDAD 1.8 MTS</t>
  </si>
  <si>
    <t>P04460</t>
  </si>
  <si>
    <t>SALIDA DE CAJA CONDUIT PVC 16MM</t>
  </si>
  <si>
    <t>P04442</t>
  </si>
  <si>
    <t>CURVA 90° CONDUIT PVC 16MM</t>
  </si>
  <si>
    <t>P04431</t>
  </si>
  <si>
    <t>TUBO CONDUIT PVC 20MM 3 MTS</t>
  </si>
  <si>
    <t>P04461</t>
  </si>
  <si>
    <t>SALIDA DE CAJA CONDUIT PVC 20MM</t>
  </si>
  <si>
    <t>P04443</t>
  </si>
  <si>
    <t>CURVA 90° CONDUIT PVC 20MM</t>
  </si>
  <si>
    <t>P04432</t>
  </si>
  <si>
    <t>TUBO CONDUIT PVC 25MM 3 MTS</t>
  </si>
  <si>
    <t>P04462</t>
  </si>
  <si>
    <t>SALIDA DE CAJA CONDUIT PVC 25MM</t>
  </si>
  <si>
    <t>P04444</t>
  </si>
  <si>
    <t>CURVA 90° CONDUIT PVC 25MM</t>
  </si>
  <si>
    <t>P04433</t>
  </si>
  <si>
    <t>TUBO CONDUIT PVC 32MM 3 MTS</t>
  </si>
  <si>
    <t>P04463</t>
  </si>
  <si>
    <t>SALIDA DE CAJA CONDUIT PVC 32MM</t>
  </si>
  <si>
    <t>P04445</t>
  </si>
  <si>
    <t>CURVA 90° CONDUIT PVC 32MM</t>
  </si>
  <si>
    <t>P07605</t>
  </si>
  <si>
    <t>LV CABLE U/FTP CAT 6A LSZH 26 AWG VIOLETA 500 MTS ZONE AC6-DCZ-ECA-500VT</t>
  </si>
  <si>
    <t>P07342</t>
  </si>
  <si>
    <t>LV CABLE F/FTP CAT 6A LSZH 23 AWG VIOLETA 500 MTS AC6F/FTP-HF1-ECA-500VT</t>
  </si>
  <si>
    <t>P09830</t>
  </si>
  <si>
    <t>LX BOQUILLA GALVANIZADA RMC 20MM IEC</t>
  </si>
  <si>
    <t>P09831</t>
  </si>
  <si>
    <t>LX BOQUILLA GALVANIZADA RMC 25MM IEC</t>
  </si>
  <si>
    <t>P09832</t>
  </si>
  <si>
    <t>LX BOQUILLA GALVANIZADA RMC 32MM IEC</t>
  </si>
  <si>
    <t>P09833</t>
  </si>
  <si>
    <t>LX BOQUILLA GALVANIZADA RMC 40MM IEC</t>
  </si>
  <si>
    <t>P09834</t>
  </si>
  <si>
    <t>LX BOQUILLA GALVANIZADA RMC 50MM IEC</t>
  </si>
  <si>
    <t>P09820</t>
  </si>
  <si>
    <t>LX CONECTOR HUB RMC 20MM IEC</t>
  </si>
  <si>
    <t>P09821</t>
  </si>
  <si>
    <t>LX CONECTOR HUB RMC 25MM IEC</t>
  </si>
  <si>
    <t>P09822</t>
  </si>
  <si>
    <t>LX CONECTOR HUB RMC 32MM IEC</t>
  </si>
  <si>
    <t>P09823</t>
  </si>
  <si>
    <t>LX CONECTOR HUB RMC 40MM IEC</t>
  </si>
  <si>
    <t>P09824</t>
  </si>
  <si>
    <t>LX CONECTOR HUB RMC 50MM IEC</t>
  </si>
  <si>
    <t>P09815</t>
  </si>
  <si>
    <t>LX CONECTOR RMC A FLEXIBLE 20MM IEC</t>
  </si>
  <si>
    <t>P09816</t>
  </si>
  <si>
    <t>LX CONECTOR RMC A FLEXIBLE 25MM IEC</t>
  </si>
  <si>
    <t>P09817</t>
  </si>
  <si>
    <t>LX CONECTOR RMC A FLEXIBLE 32MM IEC</t>
  </si>
  <si>
    <t>P09818</t>
  </si>
  <si>
    <t>LX CONECTOR RMC A FLEXIBLE 40MM IEC</t>
  </si>
  <si>
    <t>P09819</t>
  </si>
  <si>
    <t>LX CONECTOR RMC A FLEXIBLE 50MM IEC</t>
  </si>
  <si>
    <t>P09805</t>
  </si>
  <si>
    <t>LX COPLA GALVANIZADA RMC 20MM IEC</t>
  </si>
  <si>
    <t>P09806</t>
  </si>
  <si>
    <t>LX COPLA GALVANIZADA RMC 25MM IEC</t>
  </si>
  <si>
    <t>P09807</t>
  </si>
  <si>
    <t>LX COPLA GALVANIZADA RMC 32MM IEC</t>
  </si>
  <si>
    <t>P09808</t>
  </si>
  <si>
    <t>LX COPLA GALVANIZADA RMC 40MM IEC</t>
  </si>
  <si>
    <t>P09809</t>
  </si>
  <si>
    <t>LX COPLA GALVANIZADA RMC 50MM IEC</t>
  </si>
  <si>
    <t>P09810</t>
  </si>
  <si>
    <t>LX CURVA GALVANIZADA RMC 20MM IEC</t>
  </si>
  <si>
    <t>P09811</t>
  </si>
  <si>
    <t>LX CURVA GALVANIZADA RMC 25MM IEC</t>
  </si>
  <si>
    <t>P09812</t>
  </si>
  <si>
    <t>LX CURVA GALVANIZADA RMC 32MM IEC</t>
  </si>
  <si>
    <t>P09813</t>
  </si>
  <si>
    <t>LX CURVA GALVANIZADA RMC 40MM IEC</t>
  </si>
  <si>
    <t>P09814</t>
  </si>
  <si>
    <t>LX CURVA GALVANIZADA RMC 50MM IEC</t>
  </si>
  <si>
    <t>P09800</t>
  </si>
  <si>
    <t>LX TUBERIA GALVANIZADA RMC 20MM IEC TIRA 3 MTS</t>
  </si>
  <si>
    <t>P09801</t>
  </si>
  <si>
    <t>LX TUBERIA GALVANIZADA RMC 25MM IEC TIRA 3 MTS</t>
  </si>
  <si>
    <t>P09802</t>
  </si>
  <si>
    <t>LX TUBERIA GALVANIZADA RMC 32MM IEC TIRA 3 MTS</t>
  </si>
  <si>
    <t>P09803</t>
  </si>
  <si>
    <t>LX TUBERIA GALVANIZADA RMC 40MM IEC TIRA 3 MTS</t>
  </si>
  <si>
    <t>P09804</t>
  </si>
  <si>
    <t>LX TUBERIA GALVANIZADA RMC 50MM IEC TIRA 3 MTS</t>
  </si>
  <si>
    <t>P09825</t>
  </si>
  <si>
    <t>LX TUERCA GALVANIZADA RMC 20MM IEC</t>
  </si>
  <si>
    <t>P09826</t>
  </si>
  <si>
    <t>LX TUERCA GALVANIZADA RMC 25MM IEC</t>
  </si>
  <si>
    <t>P09827</t>
  </si>
  <si>
    <t>LX TUERCA GALVANIZADA RMC 32MM IEC</t>
  </si>
  <si>
    <t>P09828</t>
  </si>
  <si>
    <t>LX TUERCA GALVANIZADA RMC 40MM IEC</t>
  </si>
  <si>
    <t>P09829</t>
  </si>
  <si>
    <t>LX TUERCA GALVANIZADA RMC 50MM IEC</t>
  </si>
  <si>
    <t>P07343</t>
  </si>
  <si>
    <t>TX GABINETE MURAL ARMABLE 4UX450</t>
  </si>
  <si>
    <t>P07440</t>
  </si>
  <si>
    <t>TX GABINETE MURAL ARMABLE 6UX450</t>
  </si>
  <si>
    <t>P07441</t>
  </si>
  <si>
    <t>TX GABINETE MURAL ARMABLE 9UX450</t>
  </si>
  <si>
    <t>P07446</t>
  </si>
  <si>
    <t>TX GABINETE MURAL ARMABLE 9UX600</t>
  </si>
  <si>
    <t>P07442</t>
  </si>
  <si>
    <t>TX GABINETE MURAL ARMABLE 12UX450</t>
  </si>
  <si>
    <t>P07443</t>
  </si>
  <si>
    <t>TX GABINETE MURAL ARMABLE 12UX600</t>
  </si>
  <si>
    <t>P07444</t>
  </si>
  <si>
    <t>TX GABINETE MURAL ARMABLE 15UX600</t>
  </si>
  <si>
    <t>P07445</t>
  </si>
  <si>
    <t>TX GABINETE MURAL ARMABLE 18UX600</t>
  </si>
  <si>
    <t>P03255</t>
  </si>
  <si>
    <t>TX GABINETE 1500X800 32U ARMABLE P/VIDRIO + KIT INST</t>
  </si>
  <si>
    <t>P03354</t>
  </si>
  <si>
    <t>TX GABINETE 2100X1000 42U ARMABLE P/MICRO + KIT INST</t>
  </si>
  <si>
    <t>P03351</t>
  </si>
  <si>
    <t>TX GABINETE 2100X600 42U ARMABLE P/VIDRIO + KIT INST</t>
  </si>
  <si>
    <t>P03353</t>
  </si>
  <si>
    <t>TX GABINETE 2100X800 42U ARMABLE P/MICRO + KIT INST</t>
  </si>
  <si>
    <t>P03352</t>
  </si>
  <si>
    <t>TX GABINETE 2100X800 42U ARMABLE P/VIDRIO + KIT INST</t>
  </si>
  <si>
    <t>P04421</t>
  </si>
  <si>
    <t>TX GABINETE 2100X800X800 42U ARM P/MICRO 4 ORD VERT</t>
  </si>
  <si>
    <t>P06335</t>
  </si>
  <si>
    <t>TX GABINETE 2200X1200 45U ARMABLE P/MICRO + KIT INST</t>
  </si>
  <si>
    <t>P08518</t>
  </si>
  <si>
    <t>TX GABINETE 2200X800X1200 45U ARM P/MICRO 4 ORD VERT</t>
  </si>
  <si>
    <t>P06635</t>
  </si>
  <si>
    <t>TX GABINETE EXTERIOR IP65 42UX600X800MM</t>
  </si>
  <si>
    <t>P06634</t>
  </si>
  <si>
    <t>TX GABINETE MURAL EXTERIOR IP65 12UX600X600MM</t>
  </si>
  <si>
    <t>P01301</t>
  </si>
  <si>
    <t>TX ORDENADOR 19X1U HORIZONTAL TAPA</t>
  </si>
  <si>
    <t>P01335</t>
  </si>
  <si>
    <t>TX ORDENADOR 19X2U HORIZONTAL TAPA</t>
  </si>
  <si>
    <t>P03851</t>
  </si>
  <si>
    <t>TX ORDENADOR VERTICAL 42U</t>
  </si>
  <si>
    <t>P03741</t>
  </si>
  <si>
    <t>BT RIELES PLASTICOS 3P MATIX 503SB</t>
  </si>
  <si>
    <t>P03710</t>
  </si>
  <si>
    <t>BT PLACA MATIX BLANCO 1P AM503/1BN</t>
  </si>
  <si>
    <t>P03711</t>
  </si>
  <si>
    <t>BT PLACA MATIX BLANCO 2P AM503/2BN</t>
  </si>
  <si>
    <t>P03712</t>
  </si>
  <si>
    <t>BT PLACA MATIX BLANCO 3P AM503/3BN</t>
  </si>
  <si>
    <t>P03717</t>
  </si>
  <si>
    <t>BT MODULO MATIX 10A HEMBRA BLANCO AM5113</t>
  </si>
  <si>
    <t>P03718</t>
  </si>
  <si>
    <t>BT MODULO MATIX 10A SEGURIDAD HEMBRA BLANCO AM5100</t>
  </si>
  <si>
    <t>P09278</t>
  </si>
  <si>
    <t>CUP ESCALA ALUMINIO TIJERA 150 KG 1.83 MTS 6P 2312-06</t>
  </si>
  <si>
    <t>P09040</t>
  </si>
  <si>
    <t>CUP ESCALA FIBRA VIDRIO TIJERA 225 KG 3.66 MTS 12P 3017-12</t>
  </si>
  <si>
    <t>P09281</t>
  </si>
  <si>
    <t>CUP ESCALA FIBRA VIDRIO TELESCOPICA 225 KG 7.63 MTS 28P 534-28</t>
  </si>
  <si>
    <t>P09280</t>
  </si>
  <si>
    <t>CUP ESCALA FIBRA VIDRIO TELESCOPICA 225 KG 6.41 MTS 24P 534-24</t>
  </si>
  <si>
    <t>P09282</t>
  </si>
  <si>
    <t>CUP ESCALA FIBRA VIDRIO PARA CAMARA 175 KG 3.00 MTS 10P FE8910</t>
  </si>
  <si>
    <t>P09277</t>
  </si>
  <si>
    <t>CUP ESCALA ALUMINIO MULTIPROPOSITO 150 KG 3.55 MTS 12P EAM-PRO</t>
  </si>
  <si>
    <t>P03901</t>
  </si>
  <si>
    <t>TX PDU 12 ENCHUFES 10A HORIZ/VERT INTERRUPTOR X 3 MTS</t>
  </si>
  <si>
    <t>P00368</t>
  </si>
  <si>
    <t>BT ENCHUFE DE SEGURIDAD 10A MACHO 2200NA</t>
  </si>
  <si>
    <t>P09379</t>
  </si>
  <si>
    <t>LG AUTOMATICO 1X16A 6KA CURVA C RX3 419840</t>
  </si>
  <si>
    <t>P09377</t>
  </si>
  <si>
    <t>LG AUTOMATICO 1X6A 6KA CURVA C RX3 419837</t>
  </si>
  <si>
    <t>P09378</t>
  </si>
  <si>
    <t>LG AUTOMATICO 1X10A 6KA CURVA C RX3 419838</t>
  </si>
  <si>
    <t>P09380</t>
  </si>
  <si>
    <t>LG AUTOMATICO 1X20A 6KA CURVA C RX3 419841</t>
  </si>
  <si>
    <t>P09381</t>
  </si>
  <si>
    <t>LG AUTOMATICO 1X25A 6KA CURVA C RX3 419842</t>
  </si>
  <si>
    <t>P03698</t>
  </si>
  <si>
    <t>LG INTERRUPTOR DIFERENCIAL 2X25A 30MA HPI 411590</t>
  </si>
  <si>
    <t>P09415</t>
  </si>
  <si>
    <t>LG INTERRUPTOR DIFERENCIAL 2X25A 30MA RX3 402024</t>
  </si>
  <si>
    <t>P06043</t>
  </si>
  <si>
    <t>CABLE H07Z1-K LIBRE HALOGENO 1X1.5MM BLANCO 100 MTS NAC</t>
  </si>
  <si>
    <t>P06044</t>
  </si>
  <si>
    <t>CABLE H07Z1-K LIBRE HALOGENO 1X1.5MM ROJO 100 MTS NAC</t>
  </si>
  <si>
    <t>P06045</t>
  </si>
  <si>
    <t>CABLE H07Z1-K LIBRE HALOGENO 1X1.5MM VERDE 100 MTS NAC</t>
  </si>
  <si>
    <t>P03426</t>
  </si>
  <si>
    <t>CABLE H07Z1-K LIBRE HALOGENO 1X4MM BLANCO 100 MTS NAC</t>
  </si>
  <si>
    <t>P03424</t>
  </si>
  <si>
    <t>CABLE H07Z1-K LIBRE HALOGENO 1X4MM ROJO 100 MTS NAC</t>
  </si>
  <si>
    <t>P03425</t>
  </si>
  <si>
    <t>CABLE H07Z1-K LIBRE HALOGENO 1X4MM VERDE 100 MTS NAC</t>
  </si>
  <si>
    <t>P05616</t>
  </si>
  <si>
    <t>TK RIEL DIN PERFORADO TIRA 1 MT</t>
  </si>
  <si>
    <t>P08708</t>
  </si>
  <si>
    <t>LX CONECTOR BRONCE BARRA 1/2 - 5/8</t>
  </si>
  <si>
    <t>P08707</t>
  </si>
  <si>
    <t>LX BARRA TOMA TIERRA TIPO COPPERWELD 1/2" X 1.5 MT</t>
  </si>
  <si>
    <t>P08683</t>
  </si>
  <si>
    <t>LX BARRA DE BRONCE AISLADA A RIEL DIN 6 POLOS VERDE</t>
  </si>
  <si>
    <t>P08682</t>
  </si>
  <si>
    <t>LX BARRA DE BRONCE AISLADA A RIEL DIN 6 POLOS BLANCO</t>
  </si>
  <si>
    <t>P08681</t>
  </si>
  <si>
    <t>LX BARRA DE BRONCE AISLADA A RIEL DIN 6 POLOS AZUL</t>
  </si>
  <si>
    <t>P00048</t>
  </si>
  <si>
    <t>CAJA CHUQUI LIBRE HALOGENOS</t>
  </si>
  <si>
    <t>P01829</t>
  </si>
  <si>
    <t>ZL SOPORTE UNIVERSAL BAJO PERFIL 100X50MM BTKS-100-50-BL</t>
  </si>
  <si>
    <t>P07202</t>
  </si>
  <si>
    <t>ABRAZADERA CLIP LIBRE HALOGENO 16MM</t>
  </si>
  <si>
    <t>P07203</t>
  </si>
  <si>
    <t>ABRAZADERA CLIP LIBRE HALOGENO 20MM</t>
  </si>
  <si>
    <t>P07204</t>
  </si>
  <si>
    <t>ABRAZADERA CLIP LIBRE HALOGENO 25MM</t>
  </si>
  <si>
    <t>P07205</t>
  </si>
  <si>
    <t>ABRAZADERA CLIP LIBRE HALOGENO 32MM</t>
  </si>
  <si>
    <t>P07194</t>
  </si>
  <si>
    <t>COPLA CONDUIT LIBRE HALOGENOS 16MM</t>
  </si>
  <si>
    <t>P07195</t>
  </si>
  <si>
    <t>COPLA CONDUIT LIBRE HALOGENOS 20MM</t>
  </si>
  <si>
    <t>P07196</t>
  </si>
  <si>
    <t>COPLA CONDUIT LIBRE HALOGENOS 25MM</t>
  </si>
  <si>
    <t>P07197</t>
  </si>
  <si>
    <t>COPLA CONDUIT LIBRE HALOGENOS 32MM</t>
  </si>
  <si>
    <t>P08052</t>
  </si>
  <si>
    <t>CAJA DISTRIBUCION EMBUTIDA LIBRE HALOGENOS</t>
  </si>
  <si>
    <t>P07186</t>
  </si>
  <si>
    <t>CURVA 90° CONDUIT LIBRE HALOGENOS 16MM</t>
  </si>
  <si>
    <t>P07187</t>
  </si>
  <si>
    <t>CURVA 90° CONDUIT LIBRE HALOGENOS 20MM</t>
  </si>
  <si>
    <t>P07188</t>
  </si>
  <si>
    <t>CURVA 90° CONDUIT LIBRE HALOGENOS 25MM</t>
  </si>
  <si>
    <t>P07189</t>
  </si>
  <si>
    <t>CURVA 90° CONDUIT LIBRE HALOGENOS 32MM</t>
  </si>
  <si>
    <t>P07198</t>
  </si>
  <si>
    <t>TERM C/TUERCA P/COND Y FLEX LIBRE HALOG 16MM</t>
  </si>
  <si>
    <t>P07199</t>
  </si>
  <si>
    <t>TERM C/TUERCA P/COND Y FLEX LIBRE HALOG 20MM</t>
  </si>
  <si>
    <t>P07200</t>
  </si>
  <si>
    <t>TERM C/TUERCA P/COND Y FLEX LIBRE HALOG 25MM</t>
  </si>
  <si>
    <t>P07201</t>
  </si>
  <si>
    <t>TERM C/TUERCA P/COND Y FLEX LIBRE HALOG 32MM</t>
  </si>
  <si>
    <t>P07182</t>
  </si>
  <si>
    <t>TUBO CONDUIT LIBRE HALOGENOS 16MM 3 MTS</t>
  </si>
  <si>
    <t>P07183</t>
  </si>
  <si>
    <t>TUBO CONDUIT LIBRE HALOGENOS 20MM 3 MTS</t>
  </si>
  <si>
    <t>P07184</t>
  </si>
  <si>
    <t>TUBO CONDUIT LIBRE HALOGENOS 25MM 3 MTS</t>
  </si>
  <si>
    <t>P07185</t>
  </si>
  <si>
    <t>TUBO CONDUIT LIBRE HALOGENOS 32MM 3 MTS</t>
  </si>
  <si>
    <t>P07190</t>
  </si>
  <si>
    <t>TUBO FLEXIBLE LIBRE HALOGENOS 16MM 100 MTS</t>
  </si>
  <si>
    <t>P07191</t>
  </si>
  <si>
    <t>TUBO FLEXIBLE LIBRE HALOGENOS 20MM 100 MTS</t>
  </si>
  <si>
    <t>P08050</t>
  </si>
  <si>
    <t>TUBO FLEXIBLE LIBRE HALOGENOS 25MM 100 MTS</t>
  </si>
  <si>
    <t>P07155</t>
  </si>
  <si>
    <t>TX UPS INTERACTIVA RACK APEX 1KVA</t>
  </si>
  <si>
    <t>P07156</t>
  </si>
  <si>
    <t>TX UPS INTERACTIVA RACK APEX 2KVA</t>
  </si>
  <si>
    <t>P07154</t>
  </si>
  <si>
    <t>TX UPS INTERACTIVA RACK APEX 600VA</t>
  </si>
  <si>
    <t>P04186</t>
  </si>
  <si>
    <t>TX UPS INTERACTIVA TORRE 1KVA VEST-1K</t>
  </si>
  <si>
    <t>P04188</t>
  </si>
  <si>
    <t>TX UPS INTERACTIVA TORRE 2KVA VEST-2K</t>
  </si>
  <si>
    <t>P04187</t>
  </si>
  <si>
    <t>TX UPS INTERACTIVA TORRE MONO 1.5KVA VEST-1.5K</t>
  </si>
  <si>
    <t>P04185</t>
  </si>
  <si>
    <t>TX UPS INTERACTIVA TORRE MONO 600VA APEX-600VA</t>
  </si>
  <si>
    <t>P04796</t>
  </si>
  <si>
    <t>TX UPS ONLINE RACK(450)/TORRE 1KVA WINPRO-1K</t>
  </si>
  <si>
    <t>P04797</t>
  </si>
  <si>
    <t>TX UPS ONLINE RACK(600)/TORRE 2KVA WINPRO-2K</t>
  </si>
  <si>
    <t>P04798</t>
  </si>
  <si>
    <t>TX UPS ONLINE RACK(800)/TORRE 3KVA WINPRO-3K</t>
  </si>
  <si>
    <t>P07081</t>
  </si>
  <si>
    <t>TX UPS ONLINE RACK/TORRE 10KVA WINPRO-10K</t>
  </si>
  <si>
    <t>P07080</t>
  </si>
  <si>
    <t>TX UPS ONLINE RACK/TORRE 6KVA WINPRO-6K</t>
  </si>
  <si>
    <t>P05056</t>
  </si>
  <si>
    <t>TX UPS ONLINE TORRE 10KVA WINPRO-10K</t>
  </si>
  <si>
    <t>P05055</t>
  </si>
  <si>
    <t>TX UPS ONLINE TORRE 6KVA WINPRO-6K</t>
  </si>
  <si>
    <t>P04189</t>
  </si>
  <si>
    <t>TX TARJETA SNMP UPS ONLINE WINPRO</t>
  </si>
  <si>
    <t>P04196</t>
  </si>
  <si>
    <t>TX KIT RIELES 19" UPS WINPRO</t>
  </si>
  <si>
    <t>P00037</t>
  </si>
  <si>
    <t>ECO CABLE PODER 3X0.75MM C13/C14 X 1.8 MTS</t>
  </si>
  <si>
    <t>P02682</t>
  </si>
  <si>
    <t>TK AMARRA CABLE NATURAL 2.5X100MM VISOR X 100 PCS</t>
  </si>
  <si>
    <t>P02683</t>
  </si>
  <si>
    <t>TK AMARRA CABLE NATURAL 2.5X100MM X 100 PCS</t>
  </si>
  <si>
    <t>P07813</t>
  </si>
  <si>
    <t>TK AMARRA CABLE NATURAL 2.5X200MM VISOR X 100 PCS</t>
  </si>
  <si>
    <t>P02685</t>
  </si>
  <si>
    <t>TK AMARRA CABLE NATURAL 3.6X150MM X 100 PCS</t>
  </si>
  <si>
    <t>P02687</t>
  </si>
  <si>
    <t>TK AMARRA CABLE NATURAL 4.8X200MM X 100 PCS</t>
  </si>
  <si>
    <t>P02689</t>
  </si>
  <si>
    <t>TK AMARRA CABLE NATURAL 4.8X300MM X 100 PCS</t>
  </si>
  <si>
    <t>P02684</t>
  </si>
  <si>
    <t>TK AMARRA CABLE NEGRO 2.5X100MM X 100 PCS</t>
  </si>
  <si>
    <t>P02686</t>
  </si>
  <si>
    <t>TK AMARRA CABLE NEGRO 3.6X150MM X 100 PCS</t>
  </si>
  <si>
    <t>P02688</t>
  </si>
  <si>
    <t>TK AMARRA CABLE NEGRO 4.8X200MM X 100 PCS</t>
  </si>
  <si>
    <t>P02690</t>
  </si>
  <si>
    <t>TK AMARRA CABLE NEGRO 4.8X300MM X 100 PCS</t>
  </si>
  <si>
    <t>P01046</t>
  </si>
  <si>
    <t>VL VELCRO 22 MTSX20MM NEGRO</t>
  </si>
  <si>
    <t>P04324</t>
  </si>
  <si>
    <t>TK CINTA AISLADORA VINILICA 15MM X 18.2 MTS NEGRO</t>
  </si>
  <si>
    <t>P03025</t>
  </si>
  <si>
    <t>TX TUERCA JAULA X 50 PCS</t>
  </si>
  <si>
    <t>P03026</t>
  </si>
  <si>
    <t>TX PERNO M-6 X 50 PCS</t>
  </si>
  <si>
    <t>P03902</t>
  </si>
  <si>
    <t>TX BANDEJA VENTILADA GABINETE MURAL 300MM</t>
  </si>
  <si>
    <t>P04762</t>
  </si>
  <si>
    <t>TX BANDEJA VENTILADA DOBLE FAZ 2U 450MM</t>
  </si>
  <si>
    <t>P03903</t>
  </si>
  <si>
    <t>TX BANDEJA VENTILADA DOBLE FIJACION 450MM AJUSTABLE JE09</t>
  </si>
  <si>
    <t>P03904</t>
  </si>
  <si>
    <t>TX BANDEJA VENTILADA DOBLE FIJACION 650MM AJUSTABLE JE09</t>
  </si>
  <si>
    <t>P04312</t>
  </si>
  <si>
    <t>TX BANDEJA VENTILADA DOBLE FIJACION 930MM AJUSTABLE PREMIUM</t>
  </si>
  <si>
    <t>P07062</t>
  </si>
  <si>
    <t>TK TARUGO NYLON PALOMA X 50 UD</t>
  </si>
  <si>
    <t>P07060</t>
  </si>
  <si>
    <t>TK TARUGO PLASTICO 6MM X 100 UD</t>
  </si>
  <si>
    <t>P07061</t>
  </si>
  <si>
    <t>TK TARUGO PLASTICO 8MM X 100 UD</t>
  </si>
  <si>
    <t>P07058</t>
  </si>
  <si>
    <t>TK TORNILLO ROSCALATA 6 X 1-1/4" X 100 UD</t>
  </si>
  <si>
    <t>P07059</t>
  </si>
  <si>
    <t>TK TORNILLO ROSCALATA 8 X 1-1/4" X 100 UD</t>
  </si>
  <si>
    <t>P01572</t>
  </si>
  <si>
    <t>TX CABECERA EASYFIBER FIJA 1U 72F ALUMINIO</t>
  </si>
  <si>
    <t>P03404</t>
  </si>
  <si>
    <t>TX MINIPLACA EASYFIBER 6 GUIAS LC DUPLEX SM</t>
  </si>
  <si>
    <t>P01575</t>
  </si>
  <si>
    <t>TX MINIPLACA EASYFIBER CIEGA</t>
  </si>
  <si>
    <t>P01450</t>
  </si>
  <si>
    <t>TX BANDEJA EMPALME EASYFIBER 12F</t>
  </si>
  <si>
    <t>P06538</t>
  </si>
  <si>
    <t>TX PIGTAILS KIT 12F SM G657A1 LC UPC 900 UM 1 MT TIA-598</t>
  </si>
  <si>
    <t>P02696</t>
  </si>
  <si>
    <t>TX JUMPER DX LC/LC SM G657A1 UPC LSZH 2 MTS 3 MM AMARILLO</t>
  </si>
  <si>
    <t>P01418</t>
  </si>
  <si>
    <t>TX JUMPER DX LC/LC SM G657A1 UPC LSZH 3 MTS 3MM AMARILLO</t>
  </si>
  <si>
    <t>P03016</t>
  </si>
  <si>
    <t>TX CABLE FO SM 12F DUCTO LT ARMADO LSZH GYXTZW</t>
  </si>
  <si>
    <t>P06811</t>
  </si>
  <si>
    <t>TX CABLE FO SM 6F DUCTO LT ARMADO LSZH GYXTZW</t>
  </si>
  <si>
    <t>P03649</t>
  </si>
  <si>
    <t>TX CABLE FO SM 24F DUCTO LT ARMADO LSZH</t>
  </si>
  <si>
    <t>P01424</t>
  </si>
  <si>
    <t>TX CABLE FO SM 6F FIG8 LT VANO 80M GYXTC8S</t>
  </si>
  <si>
    <t>P00168</t>
  </si>
  <si>
    <t>TX CABLE FO SM 12F FIG8 LT VANO 50M GYXTC8S</t>
  </si>
  <si>
    <t>P05401</t>
  </si>
  <si>
    <t>TPL MEDIA CONVERT GIGABIT SFP MC220L</t>
  </si>
  <si>
    <t>P05397</t>
  </si>
  <si>
    <t>TPL CHASIS MEDIA CONVERT 14 SLOT TL-MC1400</t>
  </si>
  <si>
    <t>P05403</t>
  </si>
  <si>
    <t>TPL MODULO SFP GIGABIT LC MM 550 MTS TL-SM311LM</t>
  </si>
  <si>
    <t>P05402</t>
  </si>
  <si>
    <t>TPL MODULO SFP GIGABIT LC SM 20KM TL-SM311LS</t>
  </si>
  <si>
    <t>P05614</t>
  </si>
  <si>
    <t>TPL SFP WDM 1310/1550 RX 1GB 10KM TL-SM321B</t>
  </si>
  <si>
    <t>P05613</t>
  </si>
  <si>
    <t>TPL SFP WDM 1550/1310 TX 1GB 10KM TL-SM321A</t>
  </si>
  <si>
    <t>P00146</t>
  </si>
  <si>
    <t>ECO TOALLAS SECAS FO 280 UND</t>
  </si>
  <si>
    <t>P00147</t>
  </si>
  <si>
    <t>ECO ALCOHOL ISOPROPILICO 1 LITRO</t>
  </si>
  <si>
    <t>P07430</t>
  </si>
  <si>
    <t>TX MUFA FO DOMO VERT 48F</t>
  </si>
  <si>
    <t>P07431</t>
  </si>
  <si>
    <t>TX MUFA FO DOMO VERT 96F</t>
  </si>
  <si>
    <t>P07846</t>
  </si>
  <si>
    <t>TX MUFA FO PLANA HOR 48F H012</t>
  </si>
  <si>
    <t>P05628</t>
  </si>
  <si>
    <t>LX TABLERO METAL 1 PUERTA 300X200X150 IP65</t>
  </si>
  <si>
    <t>P05629</t>
  </si>
  <si>
    <t>LX TABLERO METAL 1 PUERTA 300X300X200 IP65</t>
  </si>
  <si>
    <t>P05630</t>
  </si>
  <si>
    <t>LX TABLERO METAL 1 PUERTA 400X300X200 IP65</t>
  </si>
  <si>
    <t>P05631</t>
  </si>
  <si>
    <t>LX TABLERO METAL 1 PUERTA 500X400X200 IP65</t>
  </si>
  <si>
    <t>P05632</t>
  </si>
  <si>
    <t>LX TABLERO METAL 1 PUERTA 600X400X200 IP65</t>
  </si>
  <si>
    <t>P05633</t>
  </si>
  <si>
    <t>LX TABLERO METAL 1 PUERTA 800X600X200 IP65</t>
  </si>
  <si>
    <t>P09947</t>
  </si>
  <si>
    <t>BK TABLERO POLIESTER 1 PUERTA 400X300X200MM C/PLACA MONTAJE</t>
  </si>
  <si>
    <t>P09948</t>
  </si>
  <si>
    <t>BK TABLERO POLIESTER 1 PUERTA 500X400X200MM C/PLACA MONTAJE</t>
  </si>
  <si>
    <t>P09949</t>
  </si>
  <si>
    <t>BK TABLERO POLIESTER 1 PUERTA 600X400X230MM C/PLACA MONTAJE</t>
  </si>
  <si>
    <t>P09950</t>
  </si>
  <si>
    <t>BK TABLERO POLIESTER 1 PUERTA 600X500X230MM C/PLACA MONTAJE</t>
  </si>
  <si>
    <t>P09951</t>
  </si>
  <si>
    <t>BK TABLERO POLIESTER 1 PUERTA 800X600X300MM C/PLACA MONTAJE</t>
  </si>
  <si>
    <t>P09326</t>
  </si>
  <si>
    <t>TLV PROTECTOR DE EMPALME 40MM X 100 UND 232701</t>
  </si>
  <si>
    <t>P09327</t>
  </si>
  <si>
    <t>TLV PROTECTOR DE EMPALME 60MM X 100 UND 2327</t>
  </si>
  <si>
    <t>P04935</t>
  </si>
  <si>
    <t>TX CABLE UTP CAT 6 LSZH-1 23 AWG VIOLETA 305 MTS</t>
  </si>
  <si>
    <t>P03107</t>
  </si>
  <si>
    <t>TX CABLE F/UTP CAT 6 23 AWG NEGRO 305 MTS EXTERIOR DOBLE CHAQUETA</t>
  </si>
  <si>
    <t>P04936</t>
  </si>
  <si>
    <t>TX CABLE UTP CAT 6 23 AWG NEGRO 305 MTS EXTERIOR</t>
  </si>
  <si>
    <t>P06385</t>
  </si>
  <si>
    <t>TX CABLE F/UTP CAT 6 LSZH 23 AWG VIOLETA 305 MTS</t>
  </si>
  <si>
    <t>P06506</t>
  </si>
  <si>
    <t>LV CABLE UTP CAT 6 LSZH 23 AWG AZUL 305 MTS XXX-C6U-HF1-ECA-RLX-305BU</t>
  </si>
  <si>
    <t>P01022</t>
  </si>
  <si>
    <t>TX MODULO RJ45 CAT 6 BLANCO</t>
  </si>
  <si>
    <t>P13653</t>
  </si>
  <si>
    <t>HIK NVR 16 CH 1HDD DS-7616NI-Q1(STD)(D)</t>
  </si>
  <si>
    <t>P13660</t>
  </si>
  <si>
    <t>HIK NVR 32 CH 4HDD + 16POE + 2HDMI IA DS-7732NXI-I4/16P/S(STD)(C)</t>
  </si>
  <si>
    <t>P13611</t>
  </si>
  <si>
    <t>HIK NVR 32 CH 8HDD + 2HDMI RAID ALARM DS-9632NI-M8</t>
  </si>
  <si>
    <t>P14370</t>
  </si>
  <si>
    <t>HIK NVR 4 CH 1HDD + 4POE DS-7604NI-Q1/4P(STD)(D)</t>
  </si>
  <si>
    <t>P13613</t>
  </si>
  <si>
    <t>HIK NVR 64 CH  8HDD RAID ALARM DS-9664NI-I8</t>
  </si>
  <si>
    <t>P13643</t>
  </si>
  <si>
    <t>HIK NVR 8 CH 1HDD + 8POE DS-7108NI-Q1/8P(STD)©</t>
  </si>
  <si>
    <t>P14371</t>
  </si>
  <si>
    <t>HIK NVR 8 CH 2HDD + 8POE DS-7608NI-Q2/8P(STD)(D)</t>
  </si>
  <si>
    <t>P09839</t>
  </si>
  <si>
    <t>TK CONECTOR EMT A FLEXIBLE 20MM</t>
  </si>
  <si>
    <t>P09840</t>
  </si>
  <si>
    <t>TK CONECTOR EMT A FLEXIBLE 25MM</t>
  </si>
  <si>
    <t>P09841</t>
  </si>
  <si>
    <t>TK CONECTOR EMT A FLEXIBLE 32MM</t>
  </si>
  <si>
    <t>P15016</t>
  </si>
  <si>
    <t>ZL BANDEJA 100X50MM LIBRE HALOGENOS BLANCO X MTS CKD-100-50-BL-LH</t>
  </si>
  <si>
    <t>P15013</t>
  </si>
  <si>
    <t>ZL ANGULO EXTERIOR 100X50MM LIBRE HALOGENOS LS-100-50-BL-LH</t>
  </si>
  <si>
    <t>P15014</t>
  </si>
  <si>
    <t>ZL ANGULO INTERIOR 100X50MM LIBRE HALOGENOS RI-100-50-BL-LH</t>
  </si>
  <si>
    <t>P15017</t>
  </si>
  <si>
    <t>ZL DERIVACION T 100X50MM LIBRE HALOGENOS TE-100-50-BL-LH</t>
  </si>
  <si>
    <t>P15015</t>
  </si>
  <si>
    <t>ZL ANGULO PLANO 100X50MM LIBRE HALOGENOS ELE-100-50-BL-LH</t>
  </si>
  <si>
    <t>P15021</t>
  </si>
  <si>
    <t>ZL SOPORTE UNIVERSAL BAJO PERFIL 100X50MM LIBRE HALOGENOS BTKS-100-50-BL-LH</t>
  </si>
  <si>
    <t>P15018</t>
  </si>
  <si>
    <t>ZL TABIQUE SEPARADOR 100X50MM LIBRE HALOGENOS SE-D-50-BL-LH X MTS</t>
  </si>
  <si>
    <t>P15019</t>
  </si>
  <si>
    <t>ZL TAPA EXTREMO 100X50MM LIBRE HALOGENOS E-100-50-BL-LH</t>
  </si>
  <si>
    <t>P15020</t>
  </si>
  <si>
    <t>ZL UNION CABLE CANAL 100X50MM LIBRE HALOGENOS U-100-50-BL-LH</t>
  </si>
  <si>
    <t>P06337</t>
  </si>
  <si>
    <t>ADHESIVO PVC CON PINCEL 240CC</t>
  </si>
  <si>
    <t>P08662</t>
  </si>
  <si>
    <t>ADHESIVO PARA TUBERIA LIBRE HALOGENO</t>
  </si>
  <si>
    <t>TERMINAL FLEXIBLE 20mm</t>
  </si>
  <si>
    <t>FLEXIBLE 20mm 30M</t>
  </si>
  <si>
    <t>FACE PLATE  LV Simple</t>
  </si>
  <si>
    <t>FACE PLATE  TX 3P</t>
  </si>
  <si>
    <t>CABLE UTP CAT 6 INT  LSZH TX F/UTP</t>
  </si>
  <si>
    <t>CABLE UTP CAT 6 EXT UTP  TX</t>
  </si>
  <si>
    <t>CABLE UTP CAT 6 EXT F/UTP TX</t>
  </si>
  <si>
    <t>CABLE UTP CAT 6 INT  LSZH LV</t>
  </si>
  <si>
    <t>CABECERA 1 U 72F</t>
  </si>
  <si>
    <t>MAT</t>
  </si>
  <si>
    <t>MAT USD</t>
  </si>
  <si>
    <t>HH CLP</t>
  </si>
  <si>
    <t>VALOR TOTAL TRANS</t>
  </si>
  <si>
    <t>VALOR A ENTREGAR TRANS</t>
  </si>
  <si>
    <t>Planilla</t>
  </si>
  <si>
    <t>1}062,47</t>
  </si>
  <si>
    <t>1,368,33</t>
  </si>
  <si>
    <t>2,164,95</t>
  </si>
  <si>
    <t>1,772,71</t>
  </si>
  <si>
    <t>1,811,70</t>
  </si>
  <si>
    <t>1,320,70</t>
  </si>
  <si>
    <t>P07874</t>
  </si>
  <si>
    <t>TK EMT TUBERIA 32MM 4322 TIRA 3 MTS CURVABLE</t>
  </si>
  <si>
    <t>P06841</t>
  </si>
  <si>
    <t>TK EMT CURVA 32MM</t>
  </si>
  <si>
    <t>P06840</t>
  </si>
  <si>
    <t>TK EMT COPLA 32MM</t>
  </si>
  <si>
    <t>P06921</t>
  </si>
  <si>
    <t>TK EMT ABRAZADERA 32MM TIPO CADDY</t>
  </si>
  <si>
    <t>P06839</t>
  </si>
  <si>
    <t>TK EMT TERMINAL 32MM</t>
  </si>
  <si>
    <t>P05556</t>
  </si>
  <si>
    <t>TK CONDUIT FLEXIBLE METALICO PVC 32MM 30MTS</t>
  </si>
  <si>
    <t>P05558</t>
  </si>
  <si>
    <t>TK CONECTOR METALICO RECTO CONDUIT FLEX 32MM</t>
  </si>
  <si>
    <t>P09836</t>
  </si>
  <si>
    <t>TK CONECTOR METALICO CURVO CONDUIT FLEX 20MM</t>
  </si>
  <si>
    <t>P09837</t>
  </si>
  <si>
    <t>TK CONECTOR METALICO CURVO CONDUIT FLEX 25MM</t>
  </si>
  <si>
    <t>P09838</t>
  </si>
  <si>
    <t>TK CONECTOR METALICO CURVO CONDUIT FLEX 32MM</t>
  </si>
  <si>
    <t>P05619</t>
  </si>
  <si>
    <t>TK CAJA PRE-GALVANIZADA B-12 200X100X100MM</t>
  </si>
  <si>
    <t>P05620</t>
  </si>
  <si>
    <t>TK CAJA PRE-GALVANIZADA B-15 150X150X100MM</t>
  </si>
  <si>
    <t>P05621</t>
  </si>
  <si>
    <t>TK CAJA PRE-GALVANIZADA B-22 200X200X100MM</t>
  </si>
  <si>
    <t>P05622</t>
  </si>
  <si>
    <t>TK CAJA PRE-GALVANIZADA B-23 300X200X150MM</t>
  </si>
  <si>
    <t>P07015</t>
  </si>
  <si>
    <t>GY BANDEJA RANURADA BPCG 100X50X1.2 TIRA 3 MTS GALV</t>
  </si>
  <si>
    <t>P07016</t>
  </si>
  <si>
    <t>GY BANDEJA RANURADA BPCG 200X100X1.2 TIRA 3 MTS GALV</t>
  </si>
  <si>
    <t>P07020</t>
  </si>
  <si>
    <t>GY CURVA RANURADA BPCG HORIZONTAL CH90 100X50X1.2 R200 GALV</t>
  </si>
  <si>
    <t>P07019</t>
  </si>
  <si>
    <t>GY CURVA RANURADA BPCG VERT INT CVI90 100X501.2 R200 GALV</t>
  </si>
  <si>
    <t>P07025</t>
  </si>
  <si>
    <t>GY CURVA RANURADA BPCG CT 200X100X1.2 R200 GALV</t>
  </si>
  <si>
    <t>P07024</t>
  </si>
  <si>
    <t>GY CURVA RANURADA BPCG HORIZONTAL CH90 200X100X1.2 R200 GALV</t>
  </si>
  <si>
    <t>P07018</t>
  </si>
  <si>
    <t>GY CURVA RANURADA BPCG VERT EXT CVE90 100X50X1.2 R200 GALV</t>
  </si>
  <si>
    <t>P07022</t>
  </si>
  <si>
    <t>GY CURVA RANURADA BPCG VERT EXT CVE90 200X100X1.2 R200 GALV</t>
  </si>
  <si>
    <t>P07023</t>
  </si>
  <si>
    <t>GY CURVA RANURADA BPCG VERT INT CVI90 200X100X1.2 R200 GALV</t>
  </si>
  <si>
    <t>P07021</t>
  </si>
  <si>
    <t>GY CURVA RANURADA BPCG CT 100X50X1.2 R200 GALV</t>
  </si>
  <si>
    <t>P07001</t>
  </si>
  <si>
    <t>GY ESCALERILLA EPCG 300X100X2.0 TIRA 3 MTS GALV</t>
  </si>
  <si>
    <t>P07004</t>
  </si>
  <si>
    <t>GY TAPA BPCG EPCG 200X15X1.2 TIRA 3MTS GALV</t>
  </si>
  <si>
    <t>P07005</t>
  </si>
  <si>
    <t>GY TAPA BPCG EPCG 300X15X1.2 TIRA 3 MTS GALV</t>
  </si>
  <si>
    <t>P07000</t>
  </si>
  <si>
    <t>GY ESCALERILLA EPCG 200X100X2.0 TIRA 3 MTS GALV</t>
  </si>
  <si>
    <t>P07003</t>
  </si>
  <si>
    <t>GY TAPA BPCG EPCG 100X15X1.2 TIRA 3 MTS GALV</t>
  </si>
  <si>
    <t>P04434</t>
  </si>
  <si>
    <t>TUBO CONDUIT PVC 40MM 3 MTS</t>
  </si>
  <si>
    <t>P04446</t>
  </si>
  <si>
    <t>CURVA 90° CONDUIT PVC 40MM</t>
  </si>
  <si>
    <t>P04435</t>
  </si>
  <si>
    <t>TUBO CONDUIT PVC 50MM 3 MTS</t>
  </si>
  <si>
    <t>P04447</t>
  </si>
  <si>
    <t>CURVA 90° CONDUIT PVC 50MM</t>
  </si>
  <si>
    <t>P04470</t>
  </si>
  <si>
    <t>TERMINAL COMPLETO CONDUIT PVC 50MM</t>
  </si>
  <si>
    <t>P04465</t>
  </si>
  <si>
    <t>SALIDA DE CAJA CONDUIT PVC 50MM</t>
  </si>
  <si>
    <t>P04660</t>
  </si>
  <si>
    <t>TK ABRAZADERA METALICA OMEGA 16MM TSP-16</t>
  </si>
  <si>
    <t>P04661</t>
  </si>
  <si>
    <t>TK ABRAZADERA METALICA OMEGA 20MM TSP-20</t>
  </si>
  <si>
    <t>P04662</t>
  </si>
  <si>
    <t>TK ABRAZADERA METALICA OMEGA 25MM TSP-25</t>
  </si>
  <si>
    <t>P04663</t>
  </si>
  <si>
    <t>TK ABRAZADERA METALICA OMEGA 32MM TSP-32</t>
  </si>
  <si>
    <t>P04664</t>
  </si>
  <si>
    <t>ABRAZADERA METALICA OMEGA 40MM TSP-40</t>
  </si>
  <si>
    <t>P04665</t>
  </si>
  <si>
    <t>ABRAZADERA METALICA OMEGA 50MM TSP-50</t>
  </si>
  <si>
    <t>P09241</t>
  </si>
  <si>
    <t>LX CAJA ESTANCA 85X85X50 IP55 7 SALIDAS</t>
  </si>
  <si>
    <t>P09238</t>
  </si>
  <si>
    <t>LX CAJA ESTANCA 100X100X70 IP55 7 SALIDAS</t>
  </si>
  <si>
    <t>P11977</t>
  </si>
  <si>
    <t>LX CAJA ESTANCA 200X100X70 IP65 CON 8 SALIDAS</t>
  </si>
  <si>
    <t>P09240</t>
  </si>
  <si>
    <t>LX CAJA ESTANCA 255X200X80 IP55 12 SALIDAS</t>
  </si>
  <si>
    <t>P01576</t>
  </si>
  <si>
    <t>LG BANDEJA 105X50MM BLANCO X MTS 10422</t>
  </si>
  <si>
    <t>P02749</t>
  </si>
  <si>
    <t>LG TAPA COMPLETA FLEXIBLE 85MM 105X50MM 10522 MTS</t>
  </si>
  <si>
    <t>P01721</t>
  </si>
  <si>
    <t>LG ANGULO EXTERIOR 80X50 - 105X50 - 150X50MM 10622</t>
  </si>
  <si>
    <t>P02751</t>
  </si>
  <si>
    <t>LG ANGULO INTERIOR 80X50 - 105X50 - 150X50MM 10602</t>
  </si>
  <si>
    <t>P01722</t>
  </si>
  <si>
    <t>LG ANGULO PLANO 105X50MM 10785</t>
  </si>
  <si>
    <t>P03650</t>
  </si>
  <si>
    <t>LG DERIVACION T 105X50MM 10736</t>
  </si>
  <si>
    <t>P02531</t>
  </si>
  <si>
    <t>LG JUNTA BANDEJA UNIVERSAL 80X50 - 105X50 - 150X50MM 10691</t>
  </si>
  <si>
    <t>P01724</t>
  </si>
  <si>
    <t>LG JUNTA TAPA COMPLETA 105X50MM 10802</t>
  </si>
  <si>
    <t>P03659</t>
  </si>
  <si>
    <t>LG SOPORTE MOSAIC 2 MODULOS 85MM - 105X50 10992</t>
  </si>
  <si>
    <t>P03660</t>
  </si>
  <si>
    <t>LG SOPORTE MOSAIC 3 MODULOS 85MM - 105X50 10993</t>
  </si>
  <si>
    <t>P01718</t>
  </si>
  <si>
    <t>LG SOPORTE UNIVERSAL 3 MODULOS 85MM - 105X50 10916</t>
  </si>
  <si>
    <t>P00834</t>
  </si>
  <si>
    <t>LG TABIQUE SEPARADOR 80X50 - 105X50 - 150X50MM 10582 MTS</t>
  </si>
  <si>
    <t>P01717</t>
  </si>
  <si>
    <t>LG TAPA EXTREMO 105X50MM 10702</t>
  </si>
  <si>
    <t>P01960</t>
  </si>
  <si>
    <t>ZL BANDEJA PISO 48X13MM TPP-4813-GR MTS</t>
  </si>
  <si>
    <t>P04118</t>
  </si>
  <si>
    <t>BT TAPA CIEGA BLANCO (SIN TORNILLOS) 503ECH</t>
  </si>
  <si>
    <t>P07233</t>
  </si>
  <si>
    <t>TX KIT TURBINA + CABLE ENCHUFE ITALIANO GABINETE MURAL</t>
  </si>
  <si>
    <t>P02180</t>
  </si>
  <si>
    <t>ECO CABLE PIN 4X24 AWG BLANCO CCA X 100 MTS</t>
  </si>
  <si>
    <t>P01185</t>
  </si>
  <si>
    <t>LV MODULO RJ12 CAT 3 BLANCO 41106-RW6</t>
  </si>
  <si>
    <t>P07285</t>
  </si>
  <si>
    <t>LV CORD CAT 6 UTP 0.9 MTS BLANCO LSZH HIGH FLEX 6H460-03W</t>
  </si>
  <si>
    <t>P07287</t>
  </si>
  <si>
    <t>LV CORD CAT 6 UTP 2.1 MTS BLANCO LSZH HIGH FLEX 6H460-07W</t>
  </si>
  <si>
    <t>P12531</t>
  </si>
  <si>
    <t>LV CORD CAT 6 UTP 6.1 MTS BLANCO LSZH HIGH FLEX 6H460-20W</t>
  </si>
  <si>
    <t>P04564</t>
  </si>
  <si>
    <t>TX MODULO BLOQUEO NEGRO X 10 UNID</t>
  </si>
  <si>
    <t>P05171</t>
  </si>
  <si>
    <t>TX CAJA INDUSTRIAL IP 67 DOBLE</t>
  </si>
  <si>
    <t>P05172</t>
  </si>
  <si>
    <t>TX CAPUCHON INDUSTRIAL</t>
  </si>
  <si>
    <t>P05168</t>
  </si>
  <si>
    <t>TX CORD CAT 6 UTP 2 MTS INDUSTRIAL</t>
  </si>
  <si>
    <t>P05169</t>
  </si>
  <si>
    <t>TX FACE PLATE DOBLE INDUSTRIAL</t>
  </si>
  <si>
    <t>P05170</t>
  </si>
  <si>
    <t>P05167</t>
  </si>
  <si>
    <t>P01917</t>
  </si>
  <si>
    <t>P03745</t>
  </si>
  <si>
    <t>P00553</t>
  </si>
  <si>
    <t>BT RIELES PLASTICOS 3P MAGIC 503R</t>
  </si>
  <si>
    <t>P00541</t>
  </si>
  <si>
    <t>BT PLACA ANODIZADA 1P MAGIC 503/1</t>
  </si>
  <si>
    <t>P00542</t>
  </si>
  <si>
    <t>BT PLACA ANODIZADA 2P MAGIC 503/2</t>
  </si>
  <si>
    <t>P06234</t>
  </si>
  <si>
    <t>TK CONECTOR RAPIDO AMARILLO 12-10AWG X100</t>
  </si>
  <si>
    <t>P06233</t>
  </si>
  <si>
    <t>TK CONECTOR RAPIDO AZUL 20-18AWG X 100</t>
  </si>
  <si>
    <t>P06232</t>
  </si>
  <si>
    <t>TK CONECTOR RAPIDO ROJO 18-14AWG X 100</t>
  </si>
  <si>
    <t>P05674</t>
  </si>
  <si>
    <t>TK TERMINAL FERRUL 2.5MM X 100 UD</t>
  </si>
  <si>
    <t>P03369</t>
  </si>
  <si>
    <t>TX CABECERA EASYFIBER DESLIZABLE 2U 144F</t>
  </si>
  <si>
    <t>X</t>
  </si>
  <si>
    <t>Tira</t>
  </si>
  <si>
    <t>tira</t>
  </si>
  <si>
    <t>PATCH CORDS 0,9 MT LV</t>
  </si>
  <si>
    <t>USER CORDS 2,1 MTS LV</t>
  </si>
  <si>
    <t>USER CORDS 6,1 MTS LV</t>
  </si>
  <si>
    <t>CABECERA 2 U 144 F</t>
  </si>
  <si>
    <t xml:space="preserve">Capacitacion </t>
  </si>
  <si>
    <t>38.929,19</t>
  </si>
  <si>
    <t>40.230,28</t>
  </si>
  <si>
    <t>975,82</t>
  </si>
  <si>
    <t>1.067,40</t>
  </si>
  <si>
    <t>116,58</t>
  </si>
  <si>
    <t>0,9142</t>
  </si>
  <si>
    <t>147,0400</t>
  </si>
  <si>
    <t>3.023,78</t>
  </si>
  <si>
    <t>29,48</t>
  </si>
  <si>
    <t>4,23</t>
  </si>
  <si>
    <t>7000+7000+3000</t>
  </si>
  <si>
    <t>Des. Almuer. Once.</t>
  </si>
  <si>
    <t>45000 x persona</t>
  </si>
  <si>
    <t>Rev. Equipos.</t>
  </si>
  <si>
    <t xml:space="preserve"> +IVA</t>
  </si>
  <si>
    <t>25% aumento</t>
  </si>
  <si>
    <t>PUNTOS</t>
  </si>
  <si>
    <t>COT Sistek</t>
  </si>
  <si>
    <t>Extensor HDMI</t>
  </si>
  <si>
    <t>https://articulo.mercadolibre.cl/MLC-2556034234-extensor-hdmi-ethernet-rj45-cat6-1080p-120m-kvm-usb-_JM#polycard_client=search-nordic&amp;search_layout=stack&amp;position=3&amp;type=item&amp;tracking_id=e0e595c0-4134-4f42-abe9-ff5ae944c5c5&amp;wid=MLC2556034234&amp;sid=search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</si>
</sst>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$&quot;#,##0;[Red]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_-* #,##0.00_-;\-* #,##0.00_-;_-* &quot;-&quot;??_-;_-@_-"/>
    <numFmt numFmtId="165" formatCode="&quot;$&quot;#,##0;[Red]&quot;$&quot;#,##0"/>
    <numFmt numFmtId="166" formatCode="_ [$USD]\ * #,##0_ ;_ [$USD]\ * \-#,##0_ ;_ [$USD]\ * &quot;-&quot;_ ;_ @_ "/>
    <numFmt numFmtId="167" formatCode="_-* #,##0\ _€_-;\-* #,##0\ _€_-;_-* &quot;-&quot;??\ _€_-;_-@"/>
    <numFmt numFmtId="168" formatCode="_ [$$-340A]* #,##0_ ;_ [$$-340A]* \-#,##0_ ;_ [$$-340A]* &quot;-&quot;??_ ;_ @_ "/>
    <numFmt numFmtId="169" formatCode="[$USD]\ #,##0.00"/>
    <numFmt numFmtId="170" formatCode="&quot;$&quot;#,##0"/>
    <numFmt numFmtId="171" formatCode="[$USD]\ #,##0"/>
    <numFmt numFmtId="172" formatCode="_-* #,##0_-;\-* #,##0_-;_-* &quot;-&quot;??_-;_-@_-"/>
    <numFmt numFmtId="173" formatCode="_-* #,##0\ [$CLP]_-;\-* #,##0\ [$CLP]_-;_-* &quot;-&quot;\ [$CLP]_-;_-@_-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Arial"/>
      <family val="2"/>
    </font>
    <font>
      <b/>
      <sz val="36"/>
      <color theme="1"/>
      <name val="Calibri"/>
      <family val="2"/>
    </font>
    <font>
      <sz val="11"/>
      <color theme="1"/>
      <name val="Arial"/>
      <family val="2"/>
    </font>
    <font>
      <sz val="11"/>
      <name val="Calibri Light"/>
      <family val="2"/>
      <scheme val="major"/>
    </font>
    <font>
      <b/>
      <sz val="26"/>
      <color theme="1"/>
      <name val="Calibri"/>
      <family val="2"/>
    </font>
    <font>
      <u/>
      <sz val="11"/>
      <color rgb="FF0000FF"/>
      <name val="Arial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sz val="11"/>
      <color theme="1"/>
      <name val="Calibri Light"/>
      <family val="2"/>
      <scheme val="major"/>
    </font>
    <font>
      <b/>
      <sz val="24"/>
      <color theme="1"/>
      <name val="Calibri"/>
      <family val="2"/>
    </font>
    <font>
      <sz val="10"/>
      <color theme="1"/>
      <name val="Calibri"/>
      <family val="1"/>
      <scheme val="minor"/>
    </font>
    <font>
      <b/>
      <sz val="11"/>
      <name val="Calibri Light"/>
      <family val="2"/>
      <scheme val="major"/>
    </font>
    <font>
      <b/>
      <sz val="12"/>
      <color rgb="FF7A7A7A"/>
      <name val="Ubuntu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b/>
      <sz val="14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33CC"/>
        <bgColor indexed="64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/>
    <xf numFmtId="0" fontId="11" fillId="0" borderId="0"/>
    <xf numFmtId="0" fontId="10" fillId="0" borderId="0"/>
    <xf numFmtId="42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11" fillId="0" borderId="0"/>
    <xf numFmtId="0" fontId="10" fillId="0" borderId="0"/>
    <xf numFmtId="42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41" fontId="10" fillId="0" borderId="0" applyFont="0" applyFill="0" applyBorder="0" applyAlignment="0" applyProtection="0"/>
    <xf numFmtId="0" fontId="4" fillId="0" borderId="0"/>
    <xf numFmtId="42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0" fontId="4" fillId="0" borderId="0"/>
    <xf numFmtId="42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42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42" fontId="10" fillId="0" borderId="0" applyFont="0" applyFill="0" applyBorder="0" applyAlignment="0" applyProtection="0"/>
    <xf numFmtId="0" fontId="18" fillId="0" borderId="0"/>
    <xf numFmtId="42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41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42" fontId="10" fillId="0" borderId="0" applyFont="0" applyFill="0" applyBorder="0" applyAlignment="0" applyProtection="0"/>
    <xf numFmtId="41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4" fillId="0" borderId="0" applyFont="0" applyFill="0" applyBorder="0" applyAlignment="0" applyProtection="0"/>
    <xf numFmtId="42" fontId="10" fillId="0" borderId="0" applyFont="0" applyFill="0" applyBorder="0" applyAlignment="0" applyProtection="0"/>
    <xf numFmtId="42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33" fillId="0" borderId="0" applyNumberFormat="0" applyFill="0" applyBorder="0" applyAlignment="0" applyProtection="0"/>
  </cellStyleXfs>
  <cellXfs count="344">
    <xf numFmtId="0" fontId="0" fillId="0" borderId="0" xfId="0"/>
    <xf numFmtId="0" fontId="1" fillId="0" borderId="3" xfId="0" applyFont="1" applyBorder="1"/>
    <xf numFmtId="0" fontId="1" fillId="0" borderId="0" xfId="0" applyFont="1"/>
    <xf numFmtId="0" fontId="1" fillId="0" borderId="9" xfId="0" applyFont="1" applyBorder="1"/>
    <xf numFmtId="0" fontId="5" fillId="0" borderId="11" xfId="1" applyFont="1" applyBorder="1" applyAlignment="1">
      <alignment vertical="center"/>
    </xf>
    <xf numFmtId="165" fontId="5" fillId="0" borderId="0" xfId="1" applyNumberFormat="1" applyFont="1"/>
    <xf numFmtId="0" fontId="1" fillId="0" borderId="12" xfId="0" applyFont="1" applyBorder="1"/>
    <xf numFmtId="0" fontId="1" fillId="0" borderId="16" xfId="0" applyFont="1" applyBorder="1"/>
    <xf numFmtId="41" fontId="0" fillId="0" borderId="0" xfId="10" applyFont="1"/>
    <xf numFmtId="41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5" fillId="0" borderId="6" xfId="1" applyFont="1" applyBorder="1" applyAlignment="1">
      <alignment horizontal="center" vertical="center"/>
    </xf>
    <xf numFmtId="0" fontId="5" fillId="0" borderId="10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165" fontId="5" fillId="0" borderId="6" xfId="1" applyNumberFormat="1" applyFont="1" applyBorder="1" applyAlignment="1">
      <alignment horizontal="center"/>
    </xf>
    <xf numFmtId="165" fontId="5" fillId="0" borderId="10" xfId="1" applyNumberFormat="1" applyFont="1" applyBorder="1" applyAlignment="1">
      <alignment horizontal="center"/>
    </xf>
    <xf numFmtId="165" fontId="5" fillId="0" borderId="13" xfId="1" applyNumberFormat="1" applyFont="1" applyBorder="1" applyAlignment="1">
      <alignment horizontal="center"/>
    </xf>
    <xf numFmtId="0" fontId="5" fillId="0" borderId="6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0" fontId="5" fillId="0" borderId="13" xfId="1" applyFont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1" fillId="0" borderId="6" xfId="0" applyFont="1" applyBorder="1"/>
    <xf numFmtId="0" fontId="1" fillId="0" borderId="10" xfId="0" applyFont="1" applyBorder="1"/>
    <xf numFmtId="0" fontId="5" fillId="0" borderId="11" xfId="1" applyFont="1" applyBorder="1" applyAlignment="1">
      <alignment horizontal="center"/>
    </xf>
    <xf numFmtId="0" fontId="5" fillId="0" borderId="14" xfId="1" applyFont="1" applyBorder="1" applyAlignment="1">
      <alignment horizontal="center" vertical="center"/>
    </xf>
    <xf numFmtId="0" fontId="15" fillId="0" borderId="0" xfId="0" applyFont="1" applyAlignment="1">
      <alignment horizontal="center"/>
    </xf>
    <xf numFmtId="165" fontId="5" fillId="0" borderId="8" xfId="1" applyNumberFormat="1" applyFont="1" applyBorder="1"/>
    <xf numFmtId="165" fontId="5" fillId="0" borderId="15" xfId="1" applyNumberFormat="1" applyFont="1" applyBorder="1"/>
    <xf numFmtId="0" fontId="16" fillId="0" borderId="11" xfId="1" applyFont="1" applyBorder="1" applyAlignment="1">
      <alignment vertical="center"/>
    </xf>
    <xf numFmtId="0" fontId="16" fillId="0" borderId="6" xfId="1" applyFont="1" applyBorder="1" applyAlignment="1">
      <alignment vertical="center"/>
    </xf>
    <xf numFmtId="0" fontId="16" fillId="0" borderId="10" xfId="1" applyFont="1" applyBorder="1" applyAlignment="1">
      <alignment vertical="center"/>
    </xf>
    <xf numFmtId="0" fontId="16" fillId="0" borderId="13" xfId="1" applyFont="1" applyBorder="1" applyAlignment="1">
      <alignment vertical="center"/>
    </xf>
    <xf numFmtId="165" fontId="5" fillId="0" borderId="10" xfId="1" applyNumberFormat="1" applyFont="1" applyBorder="1"/>
    <xf numFmtId="165" fontId="5" fillId="0" borderId="13" xfId="1" applyNumberFormat="1" applyFont="1" applyBorder="1"/>
    <xf numFmtId="0" fontId="0" fillId="0" borderId="13" xfId="0" applyBorder="1" applyAlignment="1">
      <alignment horizontal="center"/>
    </xf>
    <xf numFmtId="165" fontId="0" fillId="0" borderId="0" xfId="0" applyNumberFormat="1"/>
    <xf numFmtId="0" fontId="12" fillId="0" borderId="8" xfId="3" applyFont="1" applyBorder="1" applyAlignment="1">
      <alignment horizontal="center" vertical="center"/>
    </xf>
    <xf numFmtId="0" fontId="13" fillId="0" borderId="22" xfId="3" applyFont="1" applyBorder="1" applyAlignment="1">
      <alignment horizontal="center" vertical="center"/>
    </xf>
    <xf numFmtId="0" fontId="1" fillId="0" borderId="0" xfId="0" applyFont="1" applyAlignment="1">
      <alignment horizontal="right"/>
    </xf>
    <xf numFmtId="165" fontId="1" fillId="0" borderId="0" xfId="0" applyNumberFormat="1" applyFont="1"/>
    <xf numFmtId="0" fontId="8" fillId="0" borderId="0" xfId="0" applyFont="1" applyAlignment="1">
      <alignment horizontal="right"/>
    </xf>
    <xf numFmtId="165" fontId="8" fillId="0" borderId="0" xfId="0" applyNumberFormat="1" applyFont="1"/>
    <xf numFmtId="0" fontId="9" fillId="0" borderId="0" xfId="0" applyFont="1"/>
    <xf numFmtId="165" fontId="14" fillId="0" borderId="0" xfId="0" applyNumberFormat="1" applyFont="1"/>
    <xf numFmtId="0" fontId="14" fillId="0" borderId="0" xfId="0" applyFont="1"/>
    <xf numFmtId="42" fontId="0" fillId="0" borderId="0" xfId="0" applyNumberFormat="1"/>
    <xf numFmtId="165" fontId="12" fillId="0" borderId="0" xfId="0" applyNumberFormat="1" applyFont="1"/>
    <xf numFmtId="1" fontId="1" fillId="0" borderId="0" xfId="0" applyNumberFormat="1" applyFont="1"/>
    <xf numFmtId="0" fontId="12" fillId="0" borderId="0" xfId="3" applyFont="1" applyAlignment="1">
      <alignment vertical="center"/>
    </xf>
    <xf numFmtId="14" fontId="0" fillId="0" borderId="8" xfId="3" applyNumberFormat="1" applyFont="1" applyBorder="1" applyAlignment="1">
      <alignment horizontal="center" vertical="center"/>
    </xf>
    <xf numFmtId="42" fontId="0" fillId="0" borderId="8" xfId="3" applyNumberFormat="1" applyFont="1" applyBorder="1" applyAlignment="1">
      <alignment horizontal="center" vertical="center"/>
    </xf>
    <xf numFmtId="166" fontId="0" fillId="0" borderId="18" xfId="3" applyNumberFormat="1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42" fontId="0" fillId="0" borderId="2" xfId="4" applyFont="1" applyBorder="1" applyAlignment="1">
      <alignment horizontal="center" vertical="center"/>
    </xf>
    <xf numFmtId="0" fontId="0" fillId="0" borderId="8" xfId="3" applyFont="1" applyBorder="1" applyAlignment="1">
      <alignment horizontal="center" vertical="center"/>
    </xf>
    <xf numFmtId="0" fontId="0" fillId="0" borderId="9" xfId="3" applyFont="1" applyBorder="1" applyAlignment="1">
      <alignment horizontal="center" vertical="center"/>
    </xf>
    <xf numFmtId="0" fontId="0" fillId="0" borderId="0" xfId="3" applyFont="1" applyAlignment="1">
      <alignment horizontal="center" vertical="center"/>
    </xf>
    <xf numFmtId="42" fontId="0" fillId="0" borderId="0" xfId="3" applyNumberFormat="1" applyFont="1" applyAlignment="1">
      <alignment horizontal="center" vertical="center"/>
    </xf>
    <xf numFmtId="0" fontId="0" fillId="0" borderId="12" xfId="3" applyFont="1" applyBorder="1" applyAlignment="1">
      <alignment horizontal="center" vertical="center"/>
    </xf>
    <xf numFmtId="42" fontId="0" fillId="0" borderId="26" xfId="3" applyNumberFormat="1" applyFont="1" applyBorder="1" applyAlignment="1">
      <alignment horizontal="center" vertical="center"/>
    </xf>
    <xf numFmtId="42" fontId="0" fillId="0" borderId="0" xfId="9" applyFont="1" applyBorder="1" applyAlignment="1">
      <alignment horizontal="center" vertical="center"/>
    </xf>
    <xf numFmtId="0" fontId="0" fillId="0" borderId="21" xfId="3" applyFont="1" applyBorder="1" applyAlignment="1">
      <alignment horizontal="center" vertical="center"/>
    </xf>
    <xf numFmtId="0" fontId="0" fillId="0" borderId="28" xfId="3" applyFont="1" applyBorder="1" applyAlignment="1">
      <alignment horizontal="center" vertical="center"/>
    </xf>
    <xf numFmtId="42" fontId="0" fillId="0" borderId="28" xfId="3" applyNumberFormat="1" applyFont="1" applyBorder="1" applyAlignment="1">
      <alignment horizontal="center" vertical="center"/>
    </xf>
    <xf numFmtId="42" fontId="0" fillId="0" borderId="23" xfId="3" applyNumberFormat="1" applyFont="1" applyBorder="1" applyAlignment="1">
      <alignment horizontal="center" vertical="center"/>
    </xf>
    <xf numFmtId="0" fontId="0" fillId="0" borderId="22" xfId="3" applyFont="1" applyBorder="1" applyAlignment="1">
      <alignment horizontal="center" vertical="center"/>
    </xf>
    <xf numFmtId="0" fontId="0" fillId="0" borderId="22" xfId="0" applyBorder="1"/>
    <xf numFmtId="0" fontId="0" fillId="0" borderId="28" xfId="0" applyBorder="1"/>
    <xf numFmtId="0" fontId="0" fillId="0" borderId="20" xfId="3" applyFont="1" applyBorder="1" applyAlignment="1">
      <alignment horizontal="center" vertical="center"/>
    </xf>
    <xf numFmtId="0" fontId="0" fillId="0" borderId="34" xfId="3" applyFont="1" applyBorder="1" applyAlignment="1">
      <alignment horizontal="center" vertical="center"/>
    </xf>
    <xf numFmtId="42" fontId="0" fillId="0" borderId="34" xfId="3" applyNumberFormat="1" applyFont="1" applyBorder="1" applyAlignment="1">
      <alignment horizontal="center" vertical="center"/>
    </xf>
    <xf numFmtId="0" fontId="0" fillId="0" borderId="20" xfId="0" applyBorder="1"/>
    <xf numFmtId="0" fontId="0" fillId="0" borderId="34" xfId="0" applyBorder="1"/>
    <xf numFmtId="42" fontId="0" fillId="0" borderId="19" xfId="3" applyNumberFormat="1" applyFont="1" applyBorder="1" applyAlignment="1">
      <alignment horizontal="center" vertical="center"/>
    </xf>
    <xf numFmtId="9" fontId="0" fillId="0" borderId="22" xfId="3" applyNumberFormat="1" applyFont="1" applyBorder="1" applyAlignment="1">
      <alignment horizontal="center" vertical="center"/>
    </xf>
    <xf numFmtId="9" fontId="0" fillId="0" borderId="23" xfId="3" applyNumberFormat="1" applyFont="1" applyBorder="1" applyAlignment="1">
      <alignment vertical="center"/>
    </xf>
    <xf numFmtId="168" fontId="0" fillId="0" borderId="0" xfId="3" applyNumberFormat="1" applyFont="1" applyAlignment="1">
      <alignment horizontal="center" vertical="center"/>
    </xf>
    <xf numFmtId="9" fontId="0" fillId="0" borderId="0" xfId="3" applyNumberFormat="1" applyFont="1" applyAlignment="1">
      <alignment horizontal="center" vertical="center"/>
    </xf>
    <xf numFmtId="42" fontId="0" fillId="0" borderId="24" xfId="3" applyNumberFormat="1" applyFont="1" applyBorder="1" applyAlignment="1">
      <alignment horizontal="center" vertical="center"/>
    </xf>
    <xf numFmtId="42" fontId="0" fillId="0" borderId="24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42" fontId="0" fillId="0" borderId="0" xfId="0" applyNumberFormat="1" applyAlignment="1">
      <alignment horizontal="center" vertical="center"/>
    </xf>
    <xf numFmtId="0" fontId="1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21" xfId="0" applyBorder="1" applyAlignment="1">
      <alignment vertical="center"/>
    </xf>
    <xf numFmtId="42" fontId="0" fillId="0" borderId="19" xfId="0" applyNumberFormat="1" applyBorder="1" applyAlignment="1">
      <alignment horizontal="center" vertical="center"/>
    </xf>
    <xf numFmtId="0" fontId="0" fillId="0" borderId="22" xfId="0" applyBorder="1" applyAlignment="1">
      <alignment vertical="center"/>
    </xf>
    <xf numFmtId="42" fontId="0" fillId="0" borderId="23" xfId="0" applyNumberFormat="1" applyBorder="1" applyAlignment="1">
      <alignment horizontal="center" vertical="center"/>
    </xf>
    <xf numFmtId="42" fontId="0" fillId="0" borderId="23" xfId="0" applyNumberFormat="1" applyBorder="1" applyAlignment="1">
      <alignment vertical="center"/>
    </xf>
    <xf numFmtId="0" fontId="0" fillId="0" borderId="20" xfId="0" applyBorder="1" applyAlignment="1">
      <alignment vertical="center"/>
    </xf>
    <xf numFmtId="42" fontId="0" fillId="0" borderId="24" xfId="0" applyNumberFormat="1" applyBorder="1"/>
    <xf numFmtId="0" fontId="1" fillId="0" borderId="25" xfId="0" applyFont="1" applyBorder="1" applyAlignment="1">
      <alignment vertical="center"/>
    </xf>
    <xf numFmtId="165" fontId="1" fillId="0" borderId="26" xfId="0" applyNumberFormat="1" applyFont="1" applyBorder="1" applyAlignment="1">
      <alignment vertical="center"/>
    </xf>
    <xf numFmtId="0" fontId="1" fillId="0" borderId="22" xfId="0" applyFont="1" applyBorder="1" applyAlignment="1">
      <alignment vertical="center"/>
    </xf>
    <xf numFmtId="9" fontId="1" fillId="0" borderId="23" xfId="0" applyNumberFormat="1" applyFont="1" applyBorder="1" applyAlignment="1">
      <alignment vertical="center"/>
    </xf>
    <xf numFmtId="42" fontId="1" fillId="0" borderId="23" xfId="0" applyNumberFormat="1" applyFont="1" applyBorder="1" applyAlignment="1">
      <alignment vertical="center"/>
    </xf>
    <xf numFmtId="0" fontId="1" fillId="0" borderId="20" xfId="0" applyFont="1" applyBorder="1" applyAlignment="1">
      <alignment vertical="center"/>
    </xf>
    <xf numFmtId="42" fontId="0" fillId="0" borderId="24" xfId="0" applyNumberFormat="1" applyBorder="1" applyAlignment="1">
      <alignment vertical="center"/>
    </xf>
    <xf numFmtId="0" fontId="1" fillId="0" borderId="29" xfId="0" applyFont="1" applyBorder="1" applyAlignment="1">
      <alignment vertical="center"/>
    </xf>
    <xf numFmtId="165" fontId="1" fillId="0" borderId="30" xfId="0" applyNumberFormat="1" applyFont="1" applyBorder="1" applyAlignment="1">
      <alignment vertical="center"/>
    </xf>
    <xf numFmtId="0" fontId="1" fillId="0" borderId="0" xfId="0" applyFont="1" applyAlignment="1">
      <alignment vertical="center"/>
    </xf>
    <xf numFmtId="42" fontId="1" fillId="0" borderId="26" xfId="0" applyNumberFormat="1" applyFont="1" applyBorder="1" applyAlignment="1">
      <alignment vertical="center"/>
    </xf>
    <xf numFmtId="42" fontId="1" fillId="0" borderId="23" xfId="0" applyNumberFormat="1" applyFont="1" applyBorder="1" applyAlignment="1">
      <alignment horizontal="right" vertical="center"/>
    </xf>
    <xf numFmtId="165" fontId="1" fillId="0" borderId="23" xfId="0" applyNumberFormat="1" applyFont="1" applyBorder="1" applyAlignment="1">
      <alignment vertical="center"/>
    </xf>
    <xf numFmtId="42" fontId="1" fillId="0" borderId="24" xfId="0" applyNumberFormat="1" applyFont="1" applyBorder="1" applyAlignment="1">
      <alignment vertical="center"/>
    </xf>
    <xf numFmtId="167" fontId="1" fillId="0" borderId="0" xfId="0" applyNumberFormat="1" applyFont="1" applyAlignment="1">
      <alignment vertical="center"/>
    </xf>
    <xf numFmtId="165" fontId="1" fillId="0" borderId="0" xfId="0" applyNumberFormat="1" applyFont="1" applyAlignment="1">
      <alignment vertical="center"/>
    </xf>
    <xf numFmtId="9" fontId="0" fillId="0" borderId="26" xfId="0" applyNumberFormat="1" applyBorder="1" applyAlignment="1">
      <alignment vertical="center"/>
    </xf>
    <xf numFmtId="0" fontId="0" fillId="0" borderId="25" xfId="0" applyBorder="1" applyAlignment="1">
      <alignment vertical="center"/>
    </xf>
    <xf numFmtId="42" fontId="0" fillId="0" borderId="26" xfId="0" applyNumberFormat="1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23" xfId="0" applyBorder="1" applyAlignment="1">
      <alignment vertical="center"/>
    </xf>
    <xf numFmtId="42" fontId="0" fillId="0" borderId="32" xfId="0" applyNumberFormat="1" applyBorder="1" applyAlignment="1">
      <alignment vertical="center"/>
    </xf>
    <xf numFmtId="42" fontId="0" fillId="0" borderId="27" xfId="0" applyNumberFormat="1" applyBorder="1" applyAlignment="1">
      <alignment vertical="center"/>
    </xf>
    <xf numFmtId="42" fontId="0" fillId="0" borderId="0" xfId="0" applyNumberFormat="1" applyAlignment="1">
      <alignment vertical="center"/>
    </xf>
    <xf numFmtId="42" fontId="1" fillId="0" borderId="27" xfId="0" applyNumberFormat="1" applyFont="1" applyBorder="1" applyAlignment="1">
      <alignment horizontal="right" vertical="center"/>
    </xf>
    <xf numFmtId="42" fontId="1" fillId="0" borderId="0" xfId="0" applyNumberFormat="1" applyFont="1" applyAlignment="1">
      <alignment horizontal="right" vertical="center"/>
    </xf>
    <xf numFmtId="165" fontId="0" fillId="0" borderId="24" xfId="0" applyNumberFormat="1" applyBorder="1" applyAlignment="1">
      <alignment vertical="center"/>
    </xf>
    <xf numFmtId="0" fontId="10" fillId="0" borderId="28" xfId="3" applyBorder="1" applyAlignment="1">
      <alignment horizontal="center" vertical="center"/>
    </xf>
    <xf numFmtId="0" fontId="0" fillId="0" borderId="25" xfId="3" applyFont="1" applyBorder="1" applyAlignment="1">
      <alignment horizontal="center" vertical="center"/>
    </xf>
    <xf numFmtId="0" fontId="10" fillId="0" borderId="39" xfId="3" applyBorder="1" applyAlignment="1">
      <alignment horizontal="center" vertical="center"/>
    </xf>
    <xf numFmtId="0" fontId="10" fillId="0" borderId="22" xfId="3" applyBorder="1" applyAlignment="1">
      <alignment horizontal="center" vertical="center"/>
    </xf>
    <xf numFmtId="0" fontId="0" fillId="0" borderId="22" xfId="3" applyFont="1" applyBorder="1" applyAlignment="1">
      <alignment horizontal="center" vertical="center" wrapText="1"/>
    </xf>
    <xf numFmtId="0" fontId="13" fillId="0" borderId="25" xfId="3" applyFont="1" applyBorder="1" applyAlignment="1">
      <alignment horizontal="center" vertical="center" wrapText="1"/>
    </xf>
    <xf numFmtId="0" fontId="10" fillId="0" borderId="31" xfId="3" applyBorder="1" applyAlignment="1">
      <alignment horizontal="center" vertical="center"/>
    </xf>
    <xf numFmtId="0" fontId="10" fillId="0" borderId="21" xfId="3" applyBorder="1" applyAlignment="1">
      <alignment horizontal="center" vertical="center"/>
    </xf>
    <xf numFmtId="42" fontId="0" fillId="0" borderId="19" xfId="4" applyFont="1" applyBorder="1" applyAlignment="1">
      <alignment horizontal="center" vertical="center"/>
    </xf>
    <xf numFmtId="6" fontId="0" fillId="0" borderId="32" xfId="0" applyNumberFormat="1" applyBorder="1" applyAlignment="1">
      <alignment vertical="center"/>
    </xf>
    <xf numFmtId="0" fontId="0" fillId="0" borderId="0" xfId="0" applyAlignment="1">
      <alignment horizontal="right"/>
    </xf>
    <xf numFmtId="41" fontId="10" fillId="0" borderId="0" xfId="10" applyFont="1" applyBorder="1"/>
    <xf numFmtId="9" fontId="0" fillId="0" borderId="0" xfId="0" applyNumberFormat="1"/>
    <xf numFmtId="0" fontId="0" fillId="2" borderId="0" xfId="0" applyFill="1"/>
    <xf numFmtId="3" fontId="20" fillId="0" borderId="0" xfId="0" applyNumberFormat="1" applyFont="1"/>
    <xf numFmtId="0" fontId="4" fillId="0" borderId="0" xfId="1"/>
    <xf numFmtId="166" fontId="21" fillId="0" borderId="18" xfId="7" applyNumberFormat="1" applyFont="1" applyBorder="1" applyAlignment="1">
      <alignment horizontal="center" vertical="center"/>
    </xf>
    <xf numFmtId="0" fontId="22" fillId="0" borderId="1" xfId="1" applyFont="1" applyBorder="1" applyAlignment="1">
      <alignment horizontal="right" vertical="center"/>
    </xf>
    <xf numFmtId="42" fontId="21" fillId="0" borderId="2" xfId="8" applyFont="1" applyBorder="1" applyAlignment="1">
      <alignment horizontal="center" vertical="center"/>
    </xf>
    <xf numFmtId="0" fontId="10" fillId="0" borderId="8" xfId="7" applyBorder="1" applyAlignment="1">
      <alignment horizontal="center" vertical="center"/>
    </xf>
    <xf numFmtId="0" fontId="10" fillId="0" borderId="0" xfId="7" applyAlignment="1">
      <alignment horizontal="center" vertical="center"/>
    </xf>
    <xf numFmtId="0" fontId="2" fillId="0" borderId="40" xfId="1" applyFont="1" applyBorder="1" applyAlignment="1">
      <alignment horizontal="center"/>
    </xf>
    <xf numFmtId="0" fontId="12" fillId="0" borderId="1" xfId="7" applyFont="1" applyBorder="1" applyAlignment="1">
      <alignment horizontal="center" vertical="center"/>
    </xf>
    <xf numFmtId="0" fontId="12" fillId="0" borderId="40" xfId="7" applyFont="1" applyBorder="1" applyAlignment="1">
      <alignment horizontal="center" vertical="center"/>
    </xf>
    <xf numFmtId="42" fontId="12" fillId="0" borderId="40" xfId="7" applyNumberFormat="1" applyFont="1" applyBorder="1" applyAlignment="1">
      <alignment horizontal="center" vertical="center"/>
    </xf>
    <xf numFmtId="0" fontId="12" fillId="0" borderId="18" xfId="7" applyFont="1" applyBorder="1" applyAlignment="1">
      <alignment horizontal="center" vertical="center"/>
    </xf>
    <xf numFmtId="0" fontId="10" fillId="0" borderId="11" xfId="7" applyBorder="1" applyAlignment="1">
      <alignment horizontal="center" vertical="center"/>
    </xf>
    <xf numFmtId="0" fontId="12" fillId="0" borderId="2" xfId="7" applyFont="1" applyBorder="1" applyAlignment="1">
      <alignment horizontal="center" vertical="center"/>
    </xf>
    <xf numFmtId="0" fontId="23" fillId="0" borderId="11" xfId="7" applyFont="1" applyBorder="1" applyAlignment="1">
      <alignment horizontal="center" vertical="center"/>
    </xf>
    <xf numFmtId="0" fontId="23" fillId="0" borderId="0" xfId="7" applyFont="1" applyAlignment="1">
      <alignment horizontal="center" vertical="center"/>
    </xf>
    <xf numFmtId="2" fontId="10" fillId="0" borderId="0" xfId="7" applyNumberFormat="1" applyAlignment="1">
      <alignment horizontal="center" vertical="center"/>
    </xf>
    <xf numFmtId="42" fontId="10" fillId="0" borderId="0" xfId="7" applyNumberFormat="1" applyAlignment="1">
      <alignment horizontal="center" vertical="center"/>
    </xf>
    <xf numFmtId="42" fontId="10" fillId="0" borderId="10" xfId="7" applyNumberFormat="1" applyBorder="1" applyAlignment="1">
      <alignment horizontal="center" vertical="center"/>
    </xf>
    <xf numFmtId="42" fontId="10" fillId="0" borderId="0" xfId="9" applyFont="1" applyBorder="1" applyAlignment="1">
      <alignment horizontal="center" vertical="center"/>
    </xf>
    <xf numFmtId="42" fontId="10" fillId="0" borderId="12" xfId="8" applyFont="1" applyBorder="1" applyAlignment="1">
      <alignment horizontal="center" vertical="center"/>
    </xf>
    <xf numFmtId="0" fontId="10" fillId="0" borderId="14" xfId="7" applyBorder="1" applyAlignment="1">
      <alignment horizontal="center" vertical="center"/>
    </xf>
    <xf numFmtId="0" fontId="10" fillId="0" borderId="15" xfId="7" applyBorder="1" applyAlignment="1">
      <alignment horizontal="center" vertical="center"/>
    </xf>
    <xf numFmtId="42" fontId="10" fillId="0" borderId="16" xfId="8" applyFont="1" applyBorder="1" applyAlignment="1">
      <alignment horizontal="center" vertical="center"/>
    </xf>
    <xf numFmtId="0" fontId="10" fillId="0" borderId="7" xfId="7" applyBorder="1" applyAlignment="1">
      <alignment horizontal="center" vertical="center"/>
    </xf>
    <xf numFmtId="42" fontId="10" fillId="0" borderId="9" xfId="7" applyNumberFormat="1" applyBorder="1" applyAlignment="1">
      <alignment horizontal="center" vertical="center"/>
    </xf>
    <xf numFmtId="42" fontId="10" fillId="0" borderId="15" xfId="7" applyNumberFormat="1" applyBorder="1" applyAlignment="1">
      <alignment horizontal="center" vertical="center"/>
    </xf>
    <xf numFmtId="0" fontId="10" fillId="0" borderId="9" xfId="7" applyBorder="1" applyAlignment="1">
      <alignment horizontal="center" vertical="center"/>
    </xf>
    <xf numFmtId="0" fontId="10" fillId="0" borderId="1" xfId="7" applyBorder="1" applyAlignment="1">
      <alignment horizontal="center" vertical="center"/>
    </xf>
    <xf numFmtId="42" fontId="10" fillId="0" borderId="2" xfId="7" applyNumberFormat="1" applyBorder="1" applyAlignment="1">
      <alignment horizontal="center" vertical="center"/>
    </xf>
    <xf numFmtId="0" fontId="10" fillId="4" borderId="8" xfId="7" applyFill="1" applyBorder="1" applyAlignment="1">
      <alignment horizontal="center" vertical="center"/>
    </xf>
    <xf numFmtId="42" fontId="10" fillId="4" borderId="9" xfId="7" applyNumberFormat="1" applyFill="1" applyBorder="1" applyAlignment="1">
      <alignment horizontal="center" vertical="center"/>
    </xf>
    <xf numFmtId="9" fontId="10" fillId="0" borderId="0" xfId="7" applyNumberFormat="1" applyAlignment="1">
      <alignment horizontal="center" vertical="center"/>
    </xf>
    <xf numFmtId="168" fontId="10" fillId="0" borderId="0" xfId="7" applyNumberFormat="1" applyAlignment="1">
      <alignment horizontal="center" vertical="center"/>
    </xf>
    <xf numFmtId="0" fontId="4" fillId="0" borderId="0" xfId="1" applyAlignment="1">
      <alignment horizontal="center" vertical="center"/>
    </xf>
    <xf numFmtId="42" fontId="4" fillId="0" borderId="0" xfId="1" applyNumberFormat="1" applyAlignment="1">
      <alignment horizontal="center" vertical="center"/>
    </xf>
    <xf numFmtId="42" fontId="4" fillId="0" borderId="0" xfId="9" applyFont="1" applyFill="1" applyBorder="1" applyAlignment="1">
      <alignment horizontal="center" vertical="center"/>
    </xf>
    <xf numFmtId="0" fontId="4" fillId="0" borderId="7" xfId="1" applyBorder="1"/>
    <xf numFmtId="0" fontId="4" fillId="0" borderId="8" xfId="1" applyBorder="1"/>
    <xf numFmtId="0" fontId="2" fillId="0" borderId="8" xfId="1" applyFont="1" applyBorder="1" applyAlignment="1">
      <alignment horizontal="center"/>
    </xf>
    <xf numFmtId="42" fontId="4" fillId="0" borderId="9" xfId="1" applyNumberFormat="1" applyBorder="1"/>
    <xf numFmtId="9" fontId="2" fillId="0" borderId="15" xfId="1" applyNumberFormat="1" applyFont="1" applyBorder="1" applyAlignment="1">
      <alignment horizontal="center"/>
    </xf>
    <xf numFmtId="42" fontId="4" fillId="0" borderId="16" xfId="1" applyNumberFormat="1" applyBorder="1"/>
    <xf numFmtId="0" fontId="4" fillId="0" borderId="1" xfId="1" applyBorder="1"/>
    <xf numFmtId="0" fontId="4" fillId="0" borderId="40" xfId="1" applyBorder="1"/>
    <xf numFmtId="42" fontId="4" fillId="0" borderId="2" xfId="1" applyNumberFormat="1" applyBorder="1"/>
    <xf numFmtId="0" fontId="2" fillId="0" borderId="15" xfId="7" applyFont="1" applyBorder="1" applyAlignment="1">
      <alignment vertical="center"/>
    </xf>
    <xf numFmtId="42" fontId="4" fillId="0" borderId="16" xfId="7" applyNumberFormat="1" applyFont="1" applyBorder="1" applyAlignment="1">
      <alignment horizontal="center" vertical="center"/>
    </xf>
    <xf numFmtId="0" fontId="2" fillId="0" borderId="1" xfId="1" applyFont="1" applyBorder="1" applyAlignment="1">
      <alignment horizontal="center" vertical="center"/>
    </xf>
    <xf numFmtId="42" fontId="24" fillId="0" borderId="2" xfId="7" applyNumberFormat="1" applyFont="1" applyBorder="1" applyAlignment="1">
      <alignment horizontal="center" vertical="center"/>
    </xf>
    <xf numFmtId="0" fontId="4" fillId="3" borderId="0" xfId="1" applyFill="1"/>
    <xf numFmtId="42" fontId="4" fillId="3" borderId="0" xfId="1" applyNumberFormat="1" applyFill="1"/>
    <xf numFmtId="42" fontId="4" fillId="0" borderId="0" xfId="1" applyNumberFormat="1"/>
    <xf numFmtId="9" fontId="4" fillId="0" borderId="0" xfId="42" applyFont="1" applyAlignment="1"/>
    <xf numFmtId="42" fontId="0" fillId="3" borderId="0" xfId="0" applyNumberFormat="1" applyFill="1"/>
    <xf numFmtId="42" fontId="0" fillId="0" borderId="0" xfId="9" applyFont="1"/>
    <xf numFmtId="0" fontId="4" fillId="0" borderId="0" xfId="0" applyFont="1"/>
    <xf numFmtId="42" fontId="0" fillId="0" borderId="0" xfId="41" applyFont="1"/>
    <xf numFmtId="0" fontId="25" fillId="4" borderId="0" xfId="0" applyFont="1" applyFill="1"/>
    <xf numFmtId="0" fontId="25" fillId="5" borderId="28" xfId="0" applyFont="1" applyFill="1" applyBorder="1"/>
    <xf numFmtId="0" fontId="26" fillId="5" borderId="28" xfId="0" applyFont="1" applyFill="1" applyBorder="1" applyAlignment="1">
      <alignment horizontal="center"/>
    </xf>
    <xf numFmtId="0" fontId="25" fillId="4" borderId="0" xfId="0" applyFont="1" applyFill="1" applyAlignment="1">
      <alignment horizontal="center"/>
    </xf>
    <xf numFmtId="0" fontId="27" fillId="6" borderId="28" xfId="0" applyFont="1" applyFill="1" applyBorder="1" applyAlignment="1">
      <alignment horizontal="left" vertical="center"/>
    </xf>
    <xf numFmtId="0" fontId="27" fillId="6" borderId="28" xfId="0" applyFont="1" applyFill="1" applyBorder="1" applyAlignment="1">
      <alignment horizontal="center" vertical="center"/>
    </xf>
    <xf numFmtId="0" fontId="27" fillId="6" borderId="28" xfId="0" applyFont="1" applyFill="1" applyBorder="1" applyAlignment="1">
      <alignment horizontal="center" vertical="center" wrapText="1"/>
    </xf>
    <xf numFmtId="0" fontId="25" fillId="4" borderId="28" xfId="0" applyFont="1" applyFill="1" applyBorder="1" applyAlignment="1">
      <alignment horizontal="center"/>
    </xf>
    <xf numFmtId="0" fontId="25" fillId="4" borderId="28" xfId="0" applyFont="1" applyFill="1" applyBorder="1"/>
    <xf numFmtId="3" fontId="25" fillId="4" borderId="0" xfId="0" applyNumberFormat="1" applyFont="1" applyFill="1"/>
    <xf numFmtId="169" fontId="25" fillId="4" borderId="28" xfId="0" applyNumberFormat="1" applyFont="1" applyFill="1" applyBorder="1" applyAlignment="1">
      <alignment horizontal="left"/>
    </xf>
    <xf numFmtId="170" fontId="25" fillId="4" borderId="0" xfId="0" applyNumberFormat="1" applyFont="1" applyFill="1" applyAlignment="1">
      <alignment horizontal="left"/>
    </xf>
    <xf numFmtId="170" fontId="25" fillId="4" borderId="28" xfId="0" applyNumberFormat="1" applyFont="1" applyFill="1" applyBorder="1" applyAlignment="1">
      <alignment horizontal="left"/>
    </xf>
    <xf numFmtId="9" fontId="25" fillId="4" borderId="28" xfId="0" applyNumberFormat="1" applyFont="1" applyFill="1" applyBorder="1" applyAlignment="1">
      <alignment horizontal="center"/>
    </xf>
    <xf numFmtId="171" fontId="25" fillId="4" borderId="28" xfId="0" applyNumberFormat="1" applyFont="1" applyFill="1" applyBorder="1" applyAlignment="1">
      <alignment horizontal="left"/>
    </xf>
    <xf numFmtId="9" fontId="25" fillId="4" borderId="41" xfId="0" applyNumberFormat="1" applyFont="1" applyFill="1" applyBorder="1" applyAlignment="1">
      <alignment horizontal="center"/>
    </xf>
    <xf numFmtId="169" fontId="25" fillId="4" borderId="41" xfId="0" applyNumberFormat="1" applyFont="1" applyFill="1" applyBorder="1" applyAlignment="1">
      <alignment horizontal="left"/>
    </xf>
    <xf numFmtId="171" fontId="25" fillId="4" borderId="0" xfId="0" applyNumberFormat="1" applyFont="1" applyFill="1" applyAlignment="1">
      <alignment horizontal="left"/>
    </xf>
    <xf numFmtId="0" fontId="25" fillId="4" borderId="17" xfId="0" applyFont="1" applyFill="1" applyBorder="1"/>
    <xf numFmtId="169" fontId="28" fillId="4" borderId="27" xfId="0" applyNumberFormat="1" applyFont="1" applyFill="1" applyBorder="1"/>
    <xf numFmtId="169" fontId="25" fillId="4" borderId="0" xfId="0" applyNumberFormat="1" applyFont="1" applyFill="1"/>
    <xf numFmtId="170" fontId="25" fillId="4" borderId="0" xfId="0" applyNumberFormat="1" applyFont="1" applyFill="1"/>
    <xf numFmtId="41" fontId="0" fillId="3" borderId="0" xfId="0" applyNumberFormat="1" applyFill="1"/>
    <xf numFmtId="42" fontId="25" fillId="4" borderId="0" xfId="41" applyFont="1" applyFill="1"/>
    <xf numFmtId="41" fontId="25" fillId="4" borderId="0" xfId="10" applyFont="1" applyFill="1"/>
    <xf numFmtId="41" fontId="25" fillId="4" borderId="28" xfId="10" applyFont="1" applyFill="1" applyBorder="1"/>
    <xf numFmtId="41" fontId="25" fillId="4" borderId="0" xfId="10" applyFont="1" applyFill="1" applyAlignment="1">
      <alignment horizontal="center"/>
    </xf>
    <xf numFmtId="3" fontId="0" fillId="0" borderId="0" xfId="3" applyNumberFormat="1" applyFont="1" applyAlignment="1">
      <alignment horizontal="center" vertical="center"/>
    </xf>
    <xf numFmtId="41" fontId="1" fillId="0" borderId="9" xfId="0" applyNumberFormat="1" applyFont="1" applyBorder="1"/>
    <xf numFmtId="0" fontId="2" fillId="0" borderId="8" xfId="0" applyFont="1" applyBorder="1" applyAlignment="1">
      <alignment horizontal="right"/>
    </xf>
    <xf numFmtId="14" fontId="25" fillId="4" borderId="0" xfId="0" applyNumberFormat="1" applyFont="1" applyFill="1"/>
    <xf numFmtId="0" fontId="25" fillId="4" borderId="0" xfId="0" applyFont="1" applyFill="1" applyAlignment="1">
      <alignment horizontal="right"/>
    </xf>
    <xf numFmtId="0" fontId="31" fillId="3" borderId="0" xfId="0" applyFont="1" applyFill="1"/>
    <xf numFmtId="0" fontId="12" fillId="0" borderId="28" xfId="0" applyFont="1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8" xfId="0" applyNumberFormat="1" applyBorder="1" applyAlignment="1">
      <alignment horizontal="center"/>
    </xf>
    <xf numFmtId="0" fontId="30" fillId="0" borderId="28" xfId="0" applyFont="1" applyBorder="1"/>
    <xf numFmtId="0" fontId="30" fillId="0" borderId="28" xfId="0" applyFont="1" applyBorder="1" applyAlignment="1">
      <alignment horizontal="center"/>
    </xf>
    <xf numFmtId="0" fontId="32" fillId="0" borderId="28" xfId="0" applyFont="1" applyBorder="1"/>
    <xf numFmtId="0" fontId="32" fillId="0" borderId="28" xfId="0" applyFont="1" applyBorder="1" applyAlignment="1">
      <alignment horizontal="center"/>
    </xf>
    <xf numFmtId="172" fontId="25" fillId="4" borderId="28" xfId="43" applyNumberFormat="1" applyFont="1" applyFill="1" applyBorder="1" applyAlignment="1">
      <alignment horizontal="left"/>
    </xf>
    <xf numFmtId="0" fontId="27" fillId="6" borderId="41" xfId="0" applyFont="1" applyFill="1" applyBorder="1" applyAlignment="1">
      <alignment horizontal="center" vertical="center" wrapText="1"/>
    </xf>
    <xf numFmtId="0" fontId="25" fillId="4" borderId="18" xfId="0" applyFont="1" applyFill="1" applyBorder="1"/>
    <xf numFmtId="173" fontId="12" fillId="4" borderId="43" xfId="43" applyNumberFormat="1" applyFont="1" applyFill="1" applyBorder="1" applyAlignment="1">
      <alignment horizontal="center" vertical="center"/>
    </xf>
    <xf numFmtId="6" fontId="29" fillId="0" borderId="18" xfId="0" applyNumberFormat="1" applyFont="1" applyBorder="1"/>
    <xf numFmtId="0" fontId="0" fillId="0" borderId="21" xfId="0" applyBorder="1"/>
    <xf numFmtId="173" fontId="0" fillId="0" borderId="24" xfId="0" applyNumberFormat="1" applyBorder="1"/>
    <xf numFmtId="0" fontId="0" fillId="0" borderId="18" xfId="0" applyBorder="1" applyAlignment="1">
      <alignment horizontal="center" vertical="center"/>
    </xf>
    <xf numFmtId="0" fontId="5" fillId="7" borderId="11" xfId="1" applyFont="1" applyFill="1" applyBorder="1" applyAlignment="1">
      <alignment vertical="center"/>
    </xf>
    <xf numFmtId="0" fontId="5" fillId="7" borderId="6" xfId="1" applyFont="1" applyFill="1" applyBorder="1" applyAlignment="1">
      <alignment horizontal="center" vertical="center"/>
    </xf>
    <xf numFmtId="165" fontId="5" fillId="7" borderId="8" xfId="1" applyNumberFormat="1" applyFont="1" applyFill="1" applyBorder="1"/>
    <xf numFmtId="165" fontId="5" fillId="7" borderId="6" xfId="1" applyNumberFormat="1" applyFont="1" applyFill="1" applyBorder="1" applyAlignment="1">
      <alignment horizontal="center"/>
    </xf>
    <xf numFmtId="0" fontId="1" fillId="7" borderId="9" xfId="0" applyFont="1" applyFill="1" applyBorder="1"/>
    <xf numFmtId="0" fontId="5" fillId="7" borderId="10" xfId="1" applyFont="1" applyFill="1" applyBorder="1" applyAlignment="1">
      <alignment horizontal="center" vertical="center"/>
    </xf>
    <xf numFmtId="165" fontId="5" fillId="7" borderId="0" xfId="1" applyNumberFormat="1" applyFont="1" applyFill="1"/>
    <xf numFmtId="165" fontId="5" fillId="7" borderId="10" xfId="1" applyNumberFormat="1" applyFont="1" applyFill="1" applyBorder="1" applyAlignment="1">
      <alignment horizontal="center"/>
    </xf>
    <xf numFmtId="0" fontId="1" fillId="7" borderId="12" xfId="0" applyFont="1" applyFill="1" applyBorder="1"/>
    <xf numFmtId="0" fontId="16" fillId="7" borderId="11" xfId="1" applyFont="1" applyFill="1" applyBorder="1" applyAlignment="1">
      <alignment vertical="center"/>
    </xf>
    <xf numFmtId="0" fontId="16" fillId="7" borderId="14" xfId="1" applyFont="1" applyFill="1" applyBorder="1" applyAlignment="1">
      <alignment vertical="center"/>
    </xf>
    <xf numFmtId="0" fontId="5" fillId="7" borderId="1" xfId="1" applyFont="1" applyFill="1" applyBorder="1" applyAlignment="1">
      <alignment vertical="center"/>
    </xf>
    <xf numFmtId="0" fontId="16" fillId="7" borderId="10" xfId="1" applyFont="1" applyFill="1" applyBorder="1" applyAlignment="1">
      <alignment vertical="center"/>
    </xf>
    <xf numFmtId="0" fontId="5" fillId="7" borderId="6" xfId="1" applyFont="1" applyFill="1" applyBorder="1" applyAlignment="1">
      <alignment vertical="center"/>
    </xf>
    <xf numFmtId="0" fontId="5" fillId="0" borderId="10" xfId="1" applyFont="1" applyBorder="1" applyAlignment="1">
      <alignment vertical="center"/>
    </xf>
    <xf numFmtId="0" fontId="5" fillId="7" borderId="10" xfId="1" applyFont="1" applyFill="1" applyBorder="1" applyAlignment="1">
      <alignment vertical="center"/>
    </xf>
    <xf numFmtId="0" fontId="5" fillId="0" borderId="13" xfId="1" applyFont="1" applyBorder="1" applyAlignment="1">
      <alignment vertical="center"/>
    </xf>
    <xf numFmtId="165" fontId="5" fillId="7" borderId="15" xfId="1" applyNumberFormat="1" applyFont="1" applyFill="1" applyBorder="1"/>
    <xf numFmtId="0" fontId="5" fillId="7" borderId="10" xfId="1" applyFont="1" applyFill="1" applyBorder="1" applyAlignment="1">
      <alignment horizontal="center"/>
    </xf>
    <xf numFmtId="0" fontId="1" fillId="7" borderId="10" xfId="0" applyFont="1" applyFill="1" applyBorder="1"/>
    <xf numFmtId="165" fontId="5" fillId="7" borderId="10" xfId="1" applyNumberFormat="1" applyFont="1" applyFill="1" applyBorder="1"/>
    <xf numFmtId="0" fontId="5" fillId="7" borderId="11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5" fillId="7" borderId="18" xfId="1" applyFont="1" applyFill="1" applyBorder="1" applyAlignment="1">
      <alignment horizontal="center"/>
    </xf>
    <xf numFmtId="165" fontId="5" fillId="7" borderId="40" xfId="1" applyNumberFormat="1" applyFont="1" applyFill="1" applyBorder="1"/>
    <xf numFmtId="165" fontId="5" fillId="7" borderId="18" xfId="1" applyNumberFormat="1" applyFont="1" applyFill="1" applyBorder="1" applyAlignment="1">
      <alignment horizontal="center"/>
    </xf>
    <xf numFmtId="0" fontId="1" fillId="7" borderId="2" xfId="0" applyFont="1" applyFill="1" applyBorder="1"/>
    <xf numFmtId="0" fontId="7" fillId="7" borderId="12" xfId="0" applyFont="1" applyFill="1" applyBorder="1"/>
    <xf numFmtId="42" fontId="0" fillId="0" borderId="44" xfId="0" applyNumberFormat="1" applyBorder="1" applyAlignment="1">
      <alignment vertical="center"/>
    </xf>
    <xf numFmtId="42" fontId="0" fillId="0" borderId="12" xfId="0" applyNumberFormat="1" applyBorder="1" applyAlignment="1">
      <alignment vertical="center"/>
    </xf>
    <xf numFmtId="42" fontId="1" fillId="0" borderId="2" xfId="0" applyNumberFormat="1" applyFont="1" applyBorder="1" applyAlignment="1">
      <alignment horizontal="right" vertical="center"/>
    </xf>
    <xf numFmtId="42" fontId="0" fillId="0" borderId="46" xfId="0" applyNumberFormat="1" applyBorder="1" applyAlignment="1">
      <alignment vertical="center"/>
    </xf>
    <xf numFmtId="42" fontId="0" fillId="0" borderId="47" xfId="0" applyNumberFormat="1" applyBorder="1" applyAlignment="1">
      <alignment vertical="center"/>
    </xf>
    <xf numFmtId="42" fontId="0" fillId="0" borderId="2" xfId="0" applyNumberForma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/>
    <xf numFmtId="0" fontId="14" fillId="0" borderId="18" xfId="0" applyFont="1" applyBorder="1" applyAlignment="1">
      <alignment horizontal="center" vertical="center"/>
    </xf>
    <xf numFmtId="165" fontId="5" fillId="4" borderId="8" xfId="1" applyNumberFormat="1" applyFont="1" applyFill="1" applyBorder="1"/>
    <xf numFmtId="17" fontId="0" fillId="0" borderId="18" xfId="0" applyNumberFormat="1" applyBorder="1" applyAlignment="1">
      <alignment horizontal="center" vertical="center"/>
    </xf>
    <xf numFmtId="173" fontId="25" fillId="4" borderId="0" xfId="0" applyNumberFormat="1" applyFont="1" applyFill="1"/>
    <xf numFmtId="172" fontId="0" fillId="0" borderId="0" xfId="43" applyNumberFormat="1" applyFont="1"/>
    <xf numFmtId="0" fontId="14" fillId="8" borderId="18" xfId="0" applyFont="1" applyFill="1" applyBorder="1"/>
    <xf numFmtId="0" fontId="14" fillId="8" borderId="18" xfId="0" applyFont="1" applyFill="1" applyBorder="1" applyAlignment="1">
      <alignment horizontal="center"/>
    </xf>
    <xf numFmtId="0" fontId="14" fillId="8" borderId="42" xfId="0" applyFont="1" applyFill="1" applyBorder="1" applyAlignment="1">
      <alignment horizontal="center"/>
    </xf>
    <xf numFmtId="0" fontId="14" fillId="8" borderId="4" xfId="0" applyFont="1" applyFill="1" applyBorder="1" applyAlignment="1">
      <alignment horizontal="center"/>
    </xf>
    <xf numFmtId="0" fontId="14" fillId="8" borderId="5" xfId="0" applyFont="1" applyFill="1" applyBorder="1" applyAlignment="1">
      <alignment horizontal="center"/>
    </xf>
    <xf numFmtId="0" fontId="19" fillId="8" borderId="18" xfId="1" applyFont="1" applyFill="1" applyBorder="1" applyAlignment="1">
      <alignment horizontal="center" vertical="center"/>
    </xf>
    <xf numFmtId="0" fontId="0" fillId="8" borderId="25" xfId="0" applyFill="1" applyBorder="1" applyAlignment="1">
      <alignment vertical="center"/>
    </xf>
    <xf numFmtId="0" fontId="0" fillId="8" borderId="22" xfId="0" applyFill="1" applyBorder="1" applyAlignment="1">
      <alignment vertical="center"/>
    </xf>
    <xf numFmtId="0" fontId="0" fillId="8" borderId="33" xfId="0" applyFill="1" applyBorder="1" applyAlignment="1">
      <alignment vertical="center"/>
    </xf>
    <xf numFmtId="0" fontId="0" fillId="8" borderId="17" xfId="0" applyFill="1" applyBorder="1" applyAlignment="1">
      <alignment vertical="center"/>
    </xf>
    <xf numFmtId="0" fontId="0" fillId="8" borderId="45" xfId="0" applyFill="1" applyBorder="1" applyAlignment="1">
      <alignment vertical="center"/>
    </xf>
    <xf numFmtId="0" fontId="0" fillId="8" borderId="10" xfId="0" applyFill="1" applyBorder="1" applyAlignment="1">
      <alignment vertical="center"/>
    </xf>
    <xf numFmtId="0" fontId="0" fillId="8" borderId="18" xfId="0" applyFill="1" applyBorder="1" applyAlignment="1">
      <alignment vertical="center"/>
    </xf>
    <xf numFmtId="0" fontId="0" fillId="8" borderId="48" xfId="0" applyFill="1" applyBorder="1" applyAlignment="1">
      <alignment vertical="center"/>
    </xf>
    <xf numFmtId="0" fontId="0" fillId="8" borderId="49" xfId="0" applyFill="1" applyBorder="1" applyAlignment="1">
      <alignment vertical="center"/>
    </xf>
    <xf numFmtId="9" fontId="0" fillId="8" borderId="17" xfId="0" applyNumberFormat="1" applyFill="1" applyBorder="1" applyAlignment="1">
      <alignment horizontal="center" vertical="center"/>
    </xf>
    <xf numFmtId="9" fontId="0" fillId="8" borderId="27" xfId="0" applyNumberForma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2" fillId="8" borderId="17" xfId="3" applyFont="1" applyFill="1" applyBorder="1" applyAlignment="1">
      <alignment horizontal="center" vertical="center"/>
    </xf>
    <xf numFmtId="0" fontId="12" fillId="8" borderId="35" xfId="3" applyFont="1" applyFill="1" applyBorder="1" applyAlignment="1">
      <alignment horizontal="center" vertical="center"/>
    </xf>
    <xf numFmtId="42" fontId="12" fillId="8" borderId="35" xfId="3" applyNumberFormat="1" applyFont="1" applyFill="1" applyBorder="1" applyAlignment="1">
      <alignment horizontal="center" vertical="center"/>
    </xf>
    <xf numFmtId="0" fontId="12" fillId="8" borderId="27" xfId="3" applyFont="1" applyFill="1" applyBorder="1" applyAlignment="1">
      <alignment horizontal="center" vertical="center"/>
    </xf>
    <xf numFmtId="0" fontId="12" fillId="8" borderId="36" xfId="3" applyFont="1" applyFill="1" applyBorder="1" applyAlignment="1">
      <alignment horizontal="center" vertical="center"/>
    </xf>
    <xf numFmtId="0" fontId="12" fillId="8" borderId="37" xfId="3" applyFont="1" applyFill="1" applyBorder="1" applyAlignment="1">
      <alignment horizontal="center" vertical="center"/>
    </xf>
    <xf numFmtId="0" fontId="12" fillId="8" borderId="38" xfId="3" applyFont="1" applyFill="1" applyBorder="1" applyAlignment="1">
      <alignment horizontal="center" vertical="center"/>
    </xf>
    <xf numFmtId="0" fontId="1" fillId="8" borderId="18" xfId="0" applyFont="1" applyFill="1" applyBorder="1"/>
    <xf numFmtId="173" fontId="12" fillId="4" borderId="18" xfId="43" applyNumberFormat="1" applyFont="1" applyFill="1" applyBorder="1" applyAlignment="1">
      <alignment horizontal="center" vertical="center"/>
    </xf>
    <xf numFmtId="173" fontId="12" fillId="4" borderId="2" xfId="43" applyNumberFormat="1" applyFont="1" applyFill="1" applyBorder="1" applyAlignment="1">
      <alignment horizontal="center" vertical="center"/>
    </xf>
    <xf numFmtId="173" fontId="12" fillId="4" borderId="50" xfId="43" applyNumberFormat="1" applyFont="1" applyFill="1" applyBorder="1" applyAlignment="1">
      <alignment horizontal="center" vertical="center"/>
    </xf>
    <xf numFmtId="0" fontId="33" fillId="0" borderId="22" xfId="44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 textRotation="90"/>
    </xf>
    <xf numFmtId="0" fontId="3" fillId="8" borderId="10" xfId="0" applyFont="1" applyFill="1" applyBorder="1" applyAlignment="1">
      <alignment horizontal="center" vertical="center" textRotation="90"/>
    </xf>
    <xf numFmtId="0" fontId="3" fillId="8" borderId="13" xfId="0" applyFont="1" applyFill="1" applyBorder="1" applyAlignment="1">
      <alignment horizontal="center" vertical="center" textRotation="90"/>
    </xf>
    <xf numFmtId="0" fontId="0" fillId="8" borderId="17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3" fillId="8" borderId="7" xfId="0" applyFont="1" applyFill="1" applyBorder="1" applyAlignment="1">
      <alignment horizontal="center" vertical="center" textRotation="90"/>
    </xf>
    <xf numFmtId="0" fontId="3" fillId="8" borderId="11" xfId="0" applyFont="1" applyFill="1" applyBorder="1" applyAlignment="1">
      <alignment horizontal="center" vertical="center" textRotation="90"/>
    </xf>
    <xf numFmtId="0" fontId="17" fillId="8" borderId="6" xfId="0" applyFont="1" applyFill="1" applyBorder="1" applyAlignment="1">
      <alignment horizontal="center" vertical="center" textRotation="90"/>
    </xf>
    <xf numFmtId="0" fontId="17" fillId="8" borderId="10" xfId="0" applyFont="1" applyFill="1" applyBorder="1" applyAlignment="1">
      <alignment horizontal="center" vertical="center" textRotation="90"/>
    </xf>
    <xf numFmtId="0" fontId="6" fillId="8" borderId="6" xfId="0" applyFont="1" applyFill="1" applyBorder="1" applyAlignment="1">
      <alignment horizontal="center" vertical="center" textRotation="90"/>
    </xf>
    <xf numFmtId="0" fontId="6" fillId="8" borderId="10" xfId="0" applyFont="1" applyFill="1" applyBorder="1" applyAlignment="1">
      <alignment horizontal="center" vertical="center" textRotation="90"/>
    </xf>
    <xf numFmtId="0" fontId="6" fillId="8" borderId="13" xfId="0" applyFont="1" applyFill="1" applyBorder="1" applyAlignment="1">
      <alignment horizontal="center" vertical="center" textRotation="90"/>
    </xf>
    <xf numFmtId="0" fontId="1" fillId="8" borderId="17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0" fillId="8" borderId="1" xfId="3" applyFont="1" applyFill="1" applyBorder="1" applyAlignment="1">
      <alignment horizontal="center" vertical="center"/>
    </xf>
    <xf numFmtId="0" fontId="0" fillId="8" borderId="2" xfId="3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1" applyAlignment="1">
      <alignment horizontal="center"/>
    </xf>
    <xf numFmtId="0" fontId="2" fillId="0" borderId="1" xfId="1" applyFont="1" applyBorder="1" applyAlignment="1">
      <alignment horizontal="center"/>
    </xf>
    <xf numFmtId="0" fontId="2" fillId="0" borderId="40" xfId="1" applyFont="1" applyBorder="1" applyAlignment="1">
      <alignment horizontal="center"/>
    </xf>
    <xf numFmtId="0" fontId="2" fillId="0" borderId="2" xfId="1" applyFont="1" applyBorder="1" applyAlignment="1">
      <alignment horizontal="center"/>
    </xf>
    <xf numFmtId="0" fontId="2" fillId="0" borderId="14" xfId="1" applyFont="1" applyBorder="1" applyAlignment="1">
      <alignment horizontal="center"/>
    </xf>
    <xf numFmtId="0" fontId="2" fillId="0" borderId="15" xfId="1" applyFont="1" applyBorder="1" applyAlignment="1">
      <alignment horizontal="center"/>
    </xf>
    <xf numFmtId="0" fontId="2" fillId="0" borderId="14" xfId="7" applyFont="1" applyBorder="1" applyAlignment="1">
      <alignment horizontal="center" vertical="center"/>
    </xf>
    <xf numFmtId="0" fontId="2" fillId="0" borderId="15" xfId="7" applyFont="1" applyBorder="1" applyAlignment="1">
      <alignment horizontal="center" vertical="center"/>
    </xf>
    <xf numFmtId="0" fontId="24" fillId="0" borderId="40" xfId="7" applyFont="1" applyBorder="1" applyAlignment="1">
      <alignment horizontal="center" vertical="center"/>
    </xf>
    <xf numFmtId="0" fontId="4" fillId="3" borderId="8" xfId="1" applyFill="1" applyBorder="1" applyAlignment="1">
      <alignment horizontal="center"/>
    </xf>
    <xf numFmtId="0" fontId="25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6" fillId="7" borderId="7" xfId="1" applyFont="1" applyFill="1" applyBorder="1" applyAlignment="1">
      <alignment vertical="center"/>
    </xf>
    <xf numFmtId="0" fontId="16" fillId="0" borderId="7" xfId="1" applyFont="1" applyBorder="1" applyAlignment="1">
      <alignment vertical="center"/>
    </xf>
    <xf numFmtId="0" fontId="16" fillId="0" borderId="14" xfId="1" applyFont="1" applyBorder="1" applyAlignment="1">
      <alignment vertical="center"/>
    </xf>
  </cellXfs>
  <cellStyles count="45">
    <cellStyle name="Hipervínculo" xfId="44" builtinId="8"/>
    <cellStyle name="Millares" xfId="43" builtinId="3"/>
    <cellStyle name="Millares [0]" xfId="10" builtinId="6"/>
    <cellStyle name="Millares [0] 2" xfId="18" xr:uid="{00000000-0005-0000-0000-000003000000}"/>
    <cellStyle name="Millares [0] 2 2" xfId="35" xr:uid="{00000000-0005-0000-0000-000004000000}"/>
    <cellStyle name="Millares [0] 3" xfId="29" xr:uid="{00000000-0005-0000-0000-000005000000}"/>
    <cellStyle name="Moneda [0]" xfId="41" builtinId="7"/>
    <cellStyle name="Moneda [0] 2" xfId="4" xr:uid="{00000000-0005-0000-0000-000007000000}"/>
    <cellStyle name="Moneda [0] 2 2" xfId="8" xr:uid="{00000000-0005-0000-0000-000008000000}"/>
    <cellStyle name="Moneda [0] 2 2 2" xfId="15" xr:uid="{00000000-0005-0000-0000-000009000000}"/>
    <cellStyle name="Moneda [0] 2 2 2 2" xfId="32" xr:uid="{00000000-0005-0000-0000-00000A000000}"/>
    <cellStyle name="Moneda [0] 2 2 3" xfId="21" xr:uid="{00000000-0005-0000-0000-00000B000000}"/>
    <cellStyle name="Moneda [0] 2 2 3 2" xfId="38" xr:uid="{00000000-0005-0000-0000-00000C000000}"/>
    <cellStyle name="Moneda [0] 2 2 4" xfId="27" xr:uid="{00000000-0005-0000-0000-00000D000000}"/>
    <cellStyle name="Moneda [0] 2 3" xfId="12" xr:uid="{00000000-0005-0000-0000-00000E000000}"/>
    <cellStyle name="Moneda [0] 2 3 2" xfId="30" xr:uid="{00000000-0005-0000-0000-00000F000000}"/>
    <cellStyle name="Moneda [0] 2 4" xfId="19" xr:uid="{00000000-0005-0000-0000-000010000000}"/>
    <cellStyle name="Moneda [0] 2 4 2" xfId="36" xr:uid="{00000000-0005-0000-0000-000011000000}"/>
    <cellStyle name="Moneda [0] 2 5" xfId="25" xr:uid="{00000000-0005-0000-0000-000012000000}"/>
    <cellStyle name="Moneda [0] 3" xfId="9" xr:uid="{00000000-0005-0000-0000-000013000000}"/>
    <cellStyle name="Moneda [0] 3 2" xfId="16" xr:uid="{00000000-0005-0000-0000-000014000000}"/>
    <cellStyle name="Moneda [0] 3 2 2" xfId="33" xr:uid="{00000000-0005-0000-0000-000015000000}"/>
    <cellStyle name="Moneda [0] 3 3" xfId="22" xr:uid="{00000000-0005-0000-0000-000016000000}"/>
    <cellStyle name="Moneda [0] 3 3 2" xfId="39" xr:uid="{00000000-0005-0000-0000-000017000000}"/>
    <cellStyle name="Moneda [0] 3 4" xfId="28" xr:uid="{00000000-0005-0000-0000-000018000000}"/>
    <cellStyle name="Moneda [0] 4" xfId="5" xr:uid="{00000000-0005-0000-0000-000019000000}"/>
    <cellStyle name="Moneda [0] 4 2" xfId="13" xr:uid="{00000000-0005-0000-0000-00001A000000}"/>
    <cellStyle name="Moneda [0] 4 2 2" xfId="31" xr:uid="{00000000-0005-0000-0000-00001B000000}"/>
    <cellStyle name="Moneda [0] 4 3" xfId="20" xr:uid="{00000000-0005-0000-0000-00001C000000}"/>
    <cellStyle name="Moneda [0] 4 3 2" xfId="37" xr:uid="{00000000-0005-0000-0000-00001D000000}"/>
    <cellStyle name="Moneda [0] 4 4" xfId="26" xr:uid="{00000000-0005-0000-0000-00001E000000}"/>
    <cellStyle name="Moneda [0] 5" xfId="17" xr:uid="{00000000-0005-0000-0000-00001F000000}"/>
    <cellStyle name="Moneda [0] 5 2" xfId="34" xr:uid="{00000000-0005-0000-0000-000020000000}"/>
    <cellStyle name="Moneda [0] 6" xfId="23" xr:uid="{00000000-0005-0000-0000-000021000000}"/>
    <cellStyle name="Moneda [0] 6 2" xfId="40" xr:uid="{00000000-0005-0000-0000-000022000000}"/>
    <cellStyle name="Normal" xfId="0" builtinId="0"/>
    <cellStyle name="Normal 2" xfId="1" xr:uid="{00000000-0005-0000-0000-000024000000}"/>
    <cellStyle name="Normal 3" xfId="3" xr:uid="{00000000-0005-0000-0000-000025000000}"/>
    <cellStyle name="Normal 3 2" xfId="7" xr:uid="{00000000-0005-0000-0000-000026000000}"/>
    <cellStyle name="Normal 4" xfId="6" xr:uid="{00000000-0005-0000-0000-000027000000}"/>
    <cellStyle name="Normal 4 2" xfId="14" xr:uid="{00000000-0005-0000-0000-000028000000}"/>
    <cellStyle name="Normal 5" xfId="2" xr:uid="{00000000-0005-0000-0000-000029000000}"/>
    <cellStyle name="Normal 5 2" xfId="11" xr:uid="{00000000-0005-0000-0000-00002A000000}"/>
    <cellStyle name="Normal 6" xfId="24" xr:uid="{00000000-0005-0000-0000-00002B000000}"/>
    <cellStyle name="Porcentaje 2" xfId="42" xr:uid="{00000000-0005-0000-0000-00002C000000}"/>
  </cellStyles>
  <dxfs count="4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33CC"/>
      <color rgb="FF68C0FC"/>
      <color rgb="FFFF66CC"/>
      <color rgb="FFFF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156883</xdr:colOff>
      <xdr:row>0</xdr:row>
      <xdr:rowOff>70787</xdr:rowOff>
    </xdr:from>
    <xdr:to>
      <xdr:col>6</xdr:col>
      <xdr:colOff>1004047</xdr:colOff>
      <xdr:row>4</xdr:row>
      <xdr:rowOff>436772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B49F8100-B981-1335-3300-E82B23D12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76030" y="70787"/>
          <a:ext cx="4466664" cy="1049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447261</xdr:colOff>
      <xdr:row>33</xdr:row>
      <xdr:rowOff>66261</xdr:rowOff>
    </xdr:from>
    <xdr:to>
      <xdr:col>7</xdr:col>
      <xdr:colOff>747773</xdr:colOff>
      <xdr:row>38</xdr:row>
      <xdr:rowOff>155023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5A84D15-5247-4370-A0CD-E45DC215A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58239" y="6634370"/>
          <a:ext cx="4466664" cy="10495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457200</xdr:colOff>
      <xdr:row>1</xdr:row>
      <xdr:rowOff>180975</xdr:rowOff>
    </xdr:from>
    <xdr:to>
      <xdr:col>20</xdr:col>
      <xdr:colOff>447675</xdr:colOff>
      <xdr:row>5</xdr:row>
      <xdr:rowOff>171008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184" t="40314" r="10794" b="30476"/>
        <a:stretch/>
      </xdr:blipFill>
      <xdr:spPr bwMode="auto">
        <a:xfrm>
          <a:off x="14135100" y="371475"/>
          <a:ext cx="3800475" cy="790133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660062</xdr:colOff>
      <xdr:row>0</xdr:row>
      <xdr:rowOff>183609</xdr:rowOff>
    </xdr:from>
    <xdr:to>
      <xdr:col>2</xdr:col>
      <xdr:colOff>2837</xdr:colOff>
      <xdr:row>2</xdr:row>
      <xdr:rowOff>69309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660062" y="183609"/>
          <a:ext cx="838403" cy="2667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/>
            <a:t>BUSCAR</a:t>
          </a:r>
        </a:p>
      </xdr:txBody>
    </xdr:sp>
    <xdr:clientData/>
  </xdr:twoCellAnchor>
  <xdr:twoCellAnchor editAs="oneCell">
    <xdr:from>
      <xdr:col>9</xdr:col>
      <xdr:colOff>99390</xdr:colOff>
      <xdr:row>2</xdr:row>
      <xdr:rowOff>140805</xdr:rowOff>
    </xdr:from>
    <xdr:to>
      <xdr:col>14</xdr:col>
      <xdr:colOff>93040</xdr:colOff>
      <xdr:row>6</xdr:row>
      <xdr:rowOff>178463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0184" t="40314" r="10794" b="30476"/>
        <a:stretch/>
      </xdr:blipFill>
      <xdr:spPr bwMode="auto">
        <a:xfrm>
          <a:off x="12374216" y="521805"/>
          <a:ext cx="3803650" cy="799658"/>
        </a:xfrm>
        <a:prstGeom prst="rect">
          <a:avLst/>
        </a:prstGeom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</xdr:colOff>
          <xdr:row>1</xdr:row>
          <xdr:rowOff>0</xdr:rowOff>
        </xdr:from>
        <xdr:to>
          <xdr:col>2</xdr:col>
          <xdr:colOff>5600700</xdr:colOff>
          <xdr:row>2</xdr:row>
          <xdr:rowOff>83820</xdr:rowOff>
        </xdr:to>
        <xdr:sp macro="" textlink="">
          <xdr:nvSpPr>
            <xdr:cNvPr id="1030" name="TextBox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6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LT%20-%20PROYECTOS\LT%20-%202025%20PROYECTOS\LT.%20614%20-%20SERVICIO%20DE%20MEJORAMIENTO%20DEL%20SISTEMA%20CCTV%20SISTEK%20(MF)\LayerThree%20%20ID-%20697202-10-LE25%20%20COS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iscalia"/>
    </sheetNames>
    <sheetDataSet>
      <sheetData sheetId="0">
        <row r="20">
          <cell r="H20"/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0000000-0016-0000-0400-000000000000}" autoFormatId="16" applyNumberFormats="0" applyBorderFormats="0" applyFontFormats="0" applyPatternFormats="0" applyAlignmentFormats="0" applyWidthHeightFormats="0">
  <queryTableRefresh nextId="4">
    <queryTableFields count="3">
      <queryTableField id="1" name="Column1" tableColumnId="1"/>
      <queryTableField id="2" name="Column2" tableColumnId="2"/>
      <queryTableField id="3" name="Column3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_3" displayName="Tabla_3" ref="A1:C22" tableType="queryTable" totalsRowShown="0">
  <autoFilter ref="A1:C22" xr:uid="{00000000-0009-0000-0100-000001000000}"/>
  <tableColumns count="3">
    <tableColumn id="1" xr3:uid="{00000000-0010-0000-0000-000001000000}" uniqueName="1" name="Column1" queryTableFieldId="1" dataDxfId="3"/>
    <tableColumn id="2" xr3:uid="{00000000-0010-0000-0000-000002000000}" uniqueName="2" name="Column2" queryTableFieldId="2" dataDxfId="2"/>
    <tableColumn id="3" xr3:uid="{00000000-0010-0000-0000-000003000000}" uniqueName="3" name="Column3" queryTableFieldId="3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articulo.mercadolibre.cl/MLC-2556034234-extensor-hdmi-ethernet-rj45-cat6-1080p-120m-kvm-usb-_J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O2070"/>
  <sheetViews>
    <sheetView tabSelected="1" zoomScale="85" zoomScaleNormal="85" workbookViewId="0">
      <selection activeCell="C386" sqref="C386"/>
    </sheetView>
  </sheetViews>
  <sheetFormatPr baseColWidth="10" defaultRowHeight="14.4" x14ac:dyDescent="0.3"/>
  <cols>
    <col min="1" max="1" width="11.44140625" customWidth="1"/>
    <col min="2" max="2" width="26.77734375" style="132" bestFit="1" customWidth="1"/>
    <col min="3" max="3" width="74.44140625" bestFit="1" customWidth="1"/>
    <col min="4" max="4" width="20.77734375" style="10" bestFit="1" customWidth="1"/>
    <col min="5" max="5" width="7.21875" bestFit="1" customWidth="1"/>
    <col min="6" max="6" width="26.44140625" customWidth="1"/>
    <col min="7" max="8" width="17.77734375" bestFit="1" customWidth="1"/>
    <col min="12" max="12" width="13.21875" bestFit="1" customWidth="1"/>
    <col min="15" max="15" width="12.5546875" customWidth="1"/>
  </cols>
  <sheetData>
    <row r="1" spans="1:8" ht="15" thickBot="1" x14ac:dyDescent="0.35">
      <c r="B1"/>
    </row>
    <row r="2" spans="1:8" ht="15" thickBot="1" x14ac:dyDescent="0.35">
      <c r="B2"/>
      <c r="H2" s="238" t="s">
        <v>1095</v>
      </c>
    </row>
    <row r="3" spans="1:8" ht="15" thickBot="1" x14ac:dyDescent="0.35">
      <c r="B3"/>
      <c r="H3" s="277">
        <v>45778</v>
      </c>
    </row>
    <row r="4" spans="1:8" ht="6" customHeight="1" thickBot="1" x14ac:dyDescent="0.35">
      <c r="B4"/>
    </row>
    <row r="5" spans="1:8" ht="38.25" customHeight="1" thickBot="1" x14ac:dyDescent="0.45">
      <c r="A5" s="2"/>
      <c r="B5" s="280" t="s">
        <v>0</v>
      </c>
      <c r="C5" s="275"/>
      <c r="D5" s="26"/>
      <c r="E5" s="2"/>
      <c r="F5" s="2"/>
      <c r="G5" s="2"/>
      <c r="H5" s="2"/>
    </row>
    <row r="6" spans="1:8" ht="15" thickBot="1" x14ac:dyDescent="0.35">
      <c r="A6" s="1"/>
      <c r="B6" s="1"/>
      <c r="C6" s="220"/>
      <c r="D6" s="11"/>
      <c r="E6" s="2"/>
      <c r="F6" s="2"/>
      <c r="G6" s="2"/>
      <c r="H6" s="2"/>
    </row>
    <row r="7" spans="1:8" ht="21.6" thickBot="1" x14ac:dyDescent="0.45">
      <c r="A7" s="1"/>
      <c r="B7" s="306"/>
      <c r="C7" s="281" t="s">
        <v>1</v>
      </c>
      <c r="D7" s="282" t="s">
        <v>2</v>
      </c>
      <c r="E7" s="283" t="s">
        <v>3</v>
      </c>
      <c r="F7" s="283" t="s">
        <v>4</v>
      </c>
      <c r="G7" s="283" t="s">
        <v>5</v>
      </c>
      <c r="H7" s="284" t="s">
        <v>6</v>
      </c>
    </row>
    <row r="8" spans="1:8" x14ac:dyDescent="0.3">
      <c r="A8" s="1"/>
      <c r="B8" s="311" t="s">
        <v>7</v>
      </c>
      <c r="C8" s="341" t="s">
        <v>174</v>
      </c>
      <c r="D8" s="240"/>
      <c r="E8" s="240" t="s">
        <v>9</v>
      </c>
      <c r="F8" s="241">
        <f>'Valores ESTEC'!G68</f>
        <v>2813.75</v>
      </c>
      <c r="G8" s="242">
        <f>(F8*D8)</f>
        <v>0</v>
      </c>
      <c r="H8" s="243"/>
    </row>
    <row r="9" spans="1:8" x14ac:dyDescent="0.3">
      <c r="A9" s="2"/>
      <c r="B9" s="312"/>
      <c r="C9" s="29" t="s">
        <v>175</v>
      </c>
      <c r="D9" s="13"/>
      <c r="E9" s="13" t="s">
        <v>8</v>
      </c>
      <c r="F9" s="5">
        <f>'Valores ESTEC'!G64</f>
        <v>258.75</v>
      </c>
      <c r="G9" s="16">
        <f>(F9*D9)</f>
        <v>0</v>
      </c>
      <c r="H9" s="6"/>
    </row>
    <row r="10" spans="1:8" x14ac:dyDescent="0.3">
      <c r="A10" s="2"/>
      <c r="B10" s="312"/>
      <c r="C10" s="248" t="s">
        <v>176</v>
      </c>
      <c r="D10" s="244"/>
      <c r="E10" s="244" t="s">
        <v>8</v>
      </c>
      <c r="F10" s="245">
        <f>'Valores ESTEC'!G67</f>
        <v>388.75</v>
      </c>
      <c r="G10" s="246">
        <f t="shared" ref="G10:G65" si="0">F10*D10</f>
        <v>0</v>
      </c>
      <c r="H10" s="247"/>
    </row>
    <row r="11" spans="1:8" x14ac:dyDescent="0.3">
      <c r="A11" s="1"/>
      <c r="B11" s="312"/>
      <c r="C11" s="29" t="s">
        <v>177</v>
      </c>
      <c r="D11" s="13"/>
      <c r="E11" s="13" t="s">
        <v>8</v>
      </c>
      <c r="F11" s="5">
        <f>'Valores ESTEC'!G65</f>
        <v>412.5</v>
      </c>
      <c r="G11" s="16">
        <f t="shared" si="0"/>
        <v>0</v>
      </c>
      <c r="H11" s="6"/>
    </row>
    <row r="12" spans="1:8" x14ac:dyDescent="0.3">
      <c r="A12" s="1"/>
      <c r="B12" s="312"/>
      <c r="C12" s="248" t="s">
        <v>178</v>
      </c>
      <c r="D12" s="244"/>
      <c r="E12" s="244" t="s">
        <v>8</v>
      </c>
      <c r="F12" s="245">
        <f>'Valores ESTEC'!G66</f>
        <v>512.5</v>
      </c>
      <c r="G12" s="246">
        <f t="shared" si="0"/>
        <v>0</v>
      </c>
      <c r="H12" s="247"/>
    </row>
    <row r="13" spans="1:8" x14ac:dyDescent="0.3">
      <c r="A13" s="1"/>
      <c r="B13" s="312"/>
      <c r="C13" s="29" t="s">
        <v>167</v>
      </c>
      <c r="D13" s="13"/>
      <c r="E13" s="13" t="s">
        <v>9</v>
      </c>
      <c r="F13" s="5">
        <f>'Valores ESTEC'!G73</f>
        <v>3598.75</v>
      </c>
      <c r="G13" s="16">
        <f t="shared" si="0"/>
        <v>0</v>
      </c>
      <c r="H13" s="6"/>
    </row>
    <row r="14" spans="1:8" x14ac:dyDescent="0.3">
      <c r="A14" s="1"/>
      <c r="B14" s="312"/>
      <c r="C14" s="248" t="s">
        <v>168</v>
      </c>
      <c r="D14" s="244"/>
      <c r="E14" s="244" t="s">
        <v>8</v>
      </c>
      <c r="F14" s="245">
        <f>'Valores ESTEC'!G69</f>
        <v>335</v>
      </c>
      <c r="G14" s="246">
        <f t="shared" si="0"/>
        <v>0</v>
      </c>
      <c r="H14" s="247"/>
    </row>
    <row r="15" spans="1:8" x14ac:dyDescent="0.3">
      <c r="A15" s="1"/>
      <c r="B15" s="312"/>
      <c r="C15" s="29" t="s">
        <v>169</v>
      </c>
      <c r="D15" s="13"/>
      <c r="E15" s="13" t="s">
        <v>8</v>
      </c>
      <c r="F15" s="5">
        <f>'Valores ESTEC'!G72</f>
        <v>436.25</v>
      </c>
      <c r="G15" s="16">
        <f t="shared" si="0"/>
        <v>0</v>
      </c>
      <c r="H15" s="6"/>
    </row>
    <row r="16" spans="1:8" x14ac:dyDescent="0.3">
      <c r="A16" s="1"/>
      <c r="B16" s="312"/>
      <c r="C16" s="248" t="s">
        <v>170</v>
      </c>
      <c r="D16" s="244"/>
      <c r="E16" s="244" t="s">
        <v>8</v>
      </c>
      <c r="F16" s="245">
        <f>'Valores ESTEC'!G70</f>
        <v>471.25</v>
      </c>
      <c r="G16" s="246">
        <f t="shared" si="0"/>
        <v>0</v>
      </c>
      <c r="H16" s="247"/>
    </row>
    <row r="17" spans="1:8" x14ac:dyDescent="0.3">
      <c r="A17" s="1"/>
      <c r="B17" s="312"/>
      <c r="C17" s="29" t="s">
        <v>171</v>
      </c>
      <c r="D17" s="13"/>
      <c r="E17" s="13" t="s">
        <v>8</v>
      </c>
      <c r="F17" s="5">
        <f>'Valores ESTEC'!G71</f>
        <v>777.5</v>
      </c>
      <c r="G17" s="16">
        <f t="shared" si="0"/>
        <v>0</v>
      </c>
      <c r="H17" s="6"/>
    </row>
    <row r="18" spans="1:8" x14ac:dyDescent="0.3">
      <c r="A18" s="1"/>
      <c r="B18" s="312"/>
      <c r="C18" s="248" t="s">
        <v>179</v>
      </c>
      <c r="D18" s="244"/>
      <c r="E18" s="244" t="s">
        <v>9</v>
      </c>
      <c r="F18" s="245">
        <f>'Valores ESTEC'!G353</f>
        <v>6073.75</v>
      </c>
      <c r="G18" s="246">
        <f t="shared" si="0"/>
        <v>0</v>
      </c>
      <c r="H18" s="247"/>
    </row>
    <row r="19" spans="1:8" x14ac:dyDescent="0.3">
      <c r="A19" s="1"/>
      <c r="B19" s="312"/>
      <c r="C19" s="29" t="s">
        <v>180</v>
      </c>
      <c r="D19" s="13"/>
      <c r="E19" s="13" t="s">
        <v>8</v>
      </c>
      <c r="F19" s="5">
        <f>'Valores ESTEC'!G356</f>
        <v>383.75</v>
      </c>
      <c r="G19" s="16">
        <f t="shared" si="0"/>
        <v>0</v>
      </c>
      <c r="H19" s="6"/>
    </row>
    <row r="20" spans="1:8" x14ac:dyDescent="0.3">
      <c r="A20" s="1"/>
      <c r="B20" s="312"/>
      <c r="C20" s="248" t="s">
        <v>181</v>
      </c>
      <c r="D20" s="244"/>
      <c r="E20" s="244" t="s">
        <v>8</v>
      </c>
      <c r="F20" s="245">
        <f>'Valores ESTEC'!G357</f>
        <v>1148.75</v>
      </c>
      <c r="G20" s="246">
        <f t="shared" si="0"/>
        <v>0</v>
      </c>
      <c r="H20" s="247"/>
    </row>
    <row r="21" spans="1:8" x14ac:dyDescent="0.3">
      <c r="A21" s="1"/>
      <c r="B21" s="312"/>
      <c r="C21" s="29" t="s">
        <v>182</v>
      </c>
      <c r="D21" s="13"/>
      <c r="E21" s="13" t="s">
        <v>8</v>
      </c>
      <c r="F21" s="5">
        <f>'Valores ESTEC'!G355</f>
        <v>623.75</v>
      </c>
      <c r="G21" s="16">
        <f t="shared" si="0"/>
        <v>0</v>
      </c>
      <c r="H21" s="6"/>
    </row>
    <row r="22" spans="1:8" x14ac:dyDescent="0.3">
      <c r="A22" s="1"/>
      <c r="B22" s="312"/>
      <c r="C22" s="248" t="s">
        <v>183</v>
      </c>
      <c r="D22" s="244"/>
      <c r="E22" s="244" t="s">
        <v>8</v>
      </c>
      <c r="F22" s="245">
        <f>'Valores ESTEC'!G354</f>
        <v>1406.25</v>
      </c>
      <c r="G22" s="246">
        <f t="shared" si="0"/>
        <v>0</v>
      </c>
      <c r="H22" s="247"/>
    </row>
    <row r="23" spans="1:8" x14ac:dyDescent="0.3">
      <c r="A23" s="1"/>
      <c r="B23" s="312"/>
      <c r="C23" s="29" t="str">
        <f>'Valores ESTEC'!C360</f>
        <v>TK CONECTOR METALICO CURVO CONDUIT FLEX 20MM</v>
      </c>
      <c r="D23" s="13"/>
      <c r="E23" s="13" t="s">
        <v>8</v>
      </c>
      <c r="F23" s="5">
        <f>'Valores ESTEC'!G360</f>
        <v>981.25</v>
      </c>
      <c r="G23" s="16">
        <f t="shared" si="0"/>
        <v>0</v>
      </c>
      <c r="H23" s="6"/>
    </row>
    <row r="24" spans="1:8" x14ac:dyDescent="0.3">
      <c r="A24" s="1"/>
      <c r="B24" s="312"/>
      <c r="C24" s="248" t="str">
        <f>'Valores ESTEC'!C361</f>
        <v>TK CONECTOR METALICO CURVO CONDUIT FLEX 25MM</v>
      </c>
      <c r="D24" s="244"/>
      <c r="E24" s="244" t="s">
        <v>8</v>
      </c>
      <c r="F24" s="245">
        <f>'Valores ESTEC'!G361</f>
        <v>1422.5</v>
      </c>
      <c r="G24" s="246">
        <f t="shared" si="0"/>
        <v>0</v>
      </c>
      <c r="H24" s="247"/>
    </row>
    <row r="25" spans="1:8" x14ac:dyDescent="0.3">
      <c r="A25" s="1"/>
      <c r="B25" s="312"/>
      <c r="C25" s="29" t="str">
        <f>'Valores ESTEC'!C362</f>
        <v>TK CONECTOR METALICO CURVO CONDUIT FLEX 32MM</v>
      </c>
      <c r="D25" s="13"/>
      <c r="E25" s="13" t="s">
        <v>8</v>
      </c>
      <c r="F25" s="5">
        <f>'Valores ESTEC'!G362</f>
        <v>1973.75</v>
      </c>
      <c r="G25" s="16">
        <f t="shared" si="0"/>
        <v>0</v>
      </c>
      <c r="H25" s="6"/>
    </row>
    <row r="26" spans="1:8" x14ac:dyDescent="0.3">
      <c r="A26" s="1"/>
      <c r="B26" s="312"/>
      <c r="C26" s="248"/>
      <c r="D26" s="244"/>
      <c r="E26" s="244" t="s">
        <v>8</v>
      </c>
      <c r="F26" s="245"/>
      <c r="G26" s="246">
        <f t="shared" si="0"/>
        <v>0</v>
      </c>
      <c r="H26" s="247"/>
    </row>
    <row r="27" spans="1:8" x14ac:dyDescent="0.3">
      <c r="A27" s="1"/>
      <c r="B27" s="312"/>
      <c r="C27" s="29"/>
      <c r="D27" s="13"/>
      <c r="E27" s="13" t="s">
        <v>8</v>
      </c>
      <c r="F27" s="5"/>
      <c r="G27" s="16">
        <f t="shared" si="0"/>
        <v>0</v>
      </c>
      <c r="H27" s="6"/>
    </row>
    <row r="28" spans="1:8" x14ac:dyDescent="0.3">
      <c r="A28" s="1"/>
      <c r="B28" s="312"/>
      <c r="C28" s="248" t="s">
        <v>1082</v>
      </c>
      <c r="D28" s="244"/>
      <c r="E28" s="244" t="s">
        <v>8</v>
      </c>
      <c r="F28" s="245">
        <f>'Valores ESTEC'!G76</f>
        <v>23597.5</v>
      </c>
      <c r="G28" s="246">
        <f t="shared" si="0"/>
        <v>0</v>
      </c>
      <c r="H28" s="247"/>
    </row>
    <row r="29" spans="1:8" x14ac:dyDescent="0.3">
      <c r="A29" s="1"/>
      <c r="B29" s="312"/>
      <c r="C29" s="29" t="s">
        <v>1081</v>
      </c>
      <c r="D29" s="13"/>
      <c r="E29" s="13" t="s">
        <v>8</v>
      </c>
      <c r="F29" s="5">
        <f>'Valores ESTEC'!G77</f>
        <v>907.5</v>
      </c>
      <c r="G29" s="16">
        <f t="shared" si="0"/>
        <v>0</v>
      </c>
      <c r="H29" s="6"/>
    </row>
    <row r="30" spans="1:8" x14ac:dyDescent="0.3">
      <c r="A30" s="1"/>
      <c r="B30" s="312"/>
      <c r="C30" s="248" t="str">
        <f>'Valores ESTEC'!C339</f>
        <v>TK CONECTOR EMT A FLEXIBLE 20MM</v>
      </c>
      <c r="D30" s="244"/>
      <c r="E30" s="244" t="s">
        <v>8</v>
      </c>
      <c r="F30" s="245">
        <f>'Valores ESTEC'!G339</f>
        <v>1198.75</v>
      </c>
      <c r="G30" s="246">
        <f t="shared" si="0"/>
        <v>0</v>
      </c>
      <c r="H30" s="247"/>
    </row>
    <row r="31" spans="1:8" x14ac:dyDescent="0.3">
      <c r="A31" s="1"/>
      <c r="B31" s="312"/>
      <c r="C31" s="29" t="s">
        <v>172</v>
      </c>
      <c r="D31" s="13"/>
      <c r="E31" s="13" t="s">
        <v>8</v>
      </c>
      <c r="F31" s="5">
        <f>'Valores ESTEC'!G78</f>
        <v>28036.25</v>
      </c>
      <c r="G31" s="16">
        <f t="shared" si="0"/>
        <v>0</v>
      </c>
      <c r="H31" s="6"/>
    </row>
    <row r="32" spans="1:8" x14ac:dyDescent="0.3">
      <c r="A32" s="1"/>
      <c r="B32" s="312"/>
      <c r="C32" s="248" t="s">
        <v>173</v>
      </c>
      <c r="D32" s="244"/>
      <c r="E32" s="244" t="s">
        <v>8</v>
      </c>
      <c r="F32" s="245">
        <v>903</v>
      </c>
      <c r="G32" s="246">
        <f t="shared" si="0"/>
        <v>0</v>
      </c>
      <c r="H32" s="247"/>
    </row>
    <row r="33" spans="1:8" x14ac:dyDescent="0.3">
      <c r="A33" s="1"/>
      <c r="B33" s="312"/>
      <c r="C33" s="29" t="str">
        <f>'Valores ESTEC'!C340</f>
        <v>TK CONECTOR EMT A FLEXIBLE 25MM</v>
      </c>
      <c r="D33" s="13"/>
      <c r="E33" s="13" t="s">
        <v>8</v>
      </c>
      <c r="F33" s="5">
        <f>'Valores ESTEC'!G340</f>
        <v>1065</v>
      </c>
      <c r="G33" s="16"/>
      <c r="H33" s="6"/>
    </row>
    <row r="34" spans="1:8" x14ac:dyDescent="0.3">
      <c r="A34" s="1"/>
      <c r="B34" s="312"/>
      <c r="C34" s="248" t="str">
        <f>'Valores ESTEC'!C358</f>
        <v>TK CONDUIT FLEXIBLE METALICO PVC 32MM 30MTS</v>
      </c>
      <c r="D34" s="244"/>
      <c r="E34" s="244" t="s">
        <v>8</v>
      </c>
      <c r="F34" s="245">
        <f>'Valores ESTEC'!G358</f>
        <v>44703.75</v>
      </c>
      <c r="G34" s="246">
        <f t="shared" si="0"/>
        <v>0</v>
      </c>
      <c r="H34" s="247"/>
    </row>
    <row r="35" spans="1:8" x14ac:dyDescent="0.3">
      <c r="A35" s="1"/>
      <c r="B35" s="312"/>
      <c r="C35" s="29" t="str">
        <f>'Valores ESTEC'!C359</f>
        <v>TK CONECTOR METALICO RECTO CONDUIT FLEX 32MM</v>
      </c>
      <c r="D35" s="13"/>
      <c r="E35" s="13" t="s">
        <v>8</v>
      </c>
      <c r="F35" s="5">
        <f>'Valores ESTEC'!G359</f>
        <v>1848.75</v>
      </c>
      <c r="G35" s="16">
        <f t="shared" si="0"/>
        <v>0</v>
      </c>
      <c r="H35" s="6"/>
    </row>
    <row r="36" spans="1:8" x14ac:dyDescent="0.3">
      <c r="A36" s="1"/>
      <c r="B36" s="312"/>
      <c r="C36" s="248"/>
      <c r="D36" s="244"/>
      <c r="E36" s="244" t="s">
        <v>13</v>
      </c>
      <c r="F36" s="245"/>
      <c r="G36" s="246">
        <f t="shared" si="0"/>
        <v>0</v>
      </c>
      <c r="H36" s="247"/>
    </row>
    <row r="37" spans="1:8" x14ac:dyDescent="0.3">
      <c r="A37" s="1"/>
      <c r="B37" s="312"/>
      <c r="C37" s="29"/>
      <c r="D37" s="13"/>
      <c r="E37" s="13" t="s">
        <v>8</v>
      </c>
      <c r="F37" s="5"/>
      <c r="G37" s="16">
        <f t="shared" si="0"/>
        <v>0</v>
      </c>
      <c r="H37" s="6"/>
    </row>
    <row r="38" spans="1:8" x14ac:dyDescent="0.3">
      <c r="A38" s="1"/>
      <c r="B38" s="312"/>
      <c r="C38" s="248" t="s">
        <v>226</v>
      </c>
      <c r="D38" s="244"/>
      <c r="E38" s="244" t="s">
        <v>8</v>
      </c>
      <c r="F38" s="245">
        <v>20</v>
      </c>
      <c r="G38" s="246">
        <f t="shared" si="0"/>
        <v>0</v>
      </c>
      <c r="H38" s="247"/>
    </row>
    <row r="39" spans="1:8" x14ac:dyDescent="0.3">
      <c r="A39" s="1"/>
      <c r="B39" s="312"/>
      <c r="C39" s="29" t="s">
        <v>10</v>
      </c>
      <c r="D39" s="13"/>
      <c r="E39" s="13" t="s">
        <v>8</v>
      </c>
      <c r="F39" s="5">
        <f>'Valores ESTEC'!G74</f>
        <v>1457.5</v>
      </c>
      <c r="G39" s="16">
        <f t="shared" si="0"/>
        <v>0</v>
      </c>
      <c r="H39" s="6"/>
    </row>
    <row r="40" spans="1:8" x14ac:dyDescent="0.3">
      <c r="A40" s="1"/>
      <c r="B40" s="312"/>
      <c r="C40" s="248" t="s">
        <v>11</v>
      </c>
      <c r="D40" s="244"/>
      <c r="E40" s="244" t="s">
        <v>8</v>
      </c>
      <c r="F40" s="245">
        <f>'Valores ESTEC'!G75</f>
        <v>1766.25</v>
      </c>
      <c r="G40" s="246">
        <f t="shared" si="0"/>
        <v>0</v>
      </c>
      <c r="H40" s="247"/>
    </row>
    <row r="41" spans="1:8" x14ac:dyDescent="0.3">
      <c r="A41" s="1"/>
      <c r="B41" s="312"/>
      <c r="C41" s="29" t="str">
        <f>'Valores ESTEC'!C363</f>
        <v>TK CAJA PRE-GALVANIZADA B-12 200X100X100MM</v>
      </c>
      <c r="D41" s="13"/>
      <c r="E41" s="13" t="s">
        <v>8</v>
      </c>
      <c r="F41" s="5">
        <f>'Valores ESTEC'!G363</f>
        <v>4220</v>
      </c>
      <c r="G41" s="16">
        <f t="shared" si="0"/>
        <v>0</v>
      </c>
      <c r="H41" s="6"/>
    </row>
    <row r="42" spans="1:8" x14ac:dyDescent="0.3">
      <c r="A42" s="1"/>
      <c r="B42" s="312"/>
      <c r="C42" s="248" t="str">
        <f>'Valores ESTEC'!C364</f>
        <v>TK CAJA PRE-GALVANIZADA B-15 150X150X100MM</v>
      </c>
      <c r="D42" s="244"/>
      <c r="E42" s="244" t="s">
        <v>8</v>
      </c>
      <c r="F42" s="245">
        <f>'Valores ESTEC'!G364</f>
        <v>6021.25</v>
      </c>
      <c r="G42" s="246">
        <f t="shared" si="0"/>
        <v>0</v>
      </c>
      <c r="H42" s="247"/>
    </row>
    <row r="43" spans="1:8" x14ac:dyDescent="0.3">
      <c r="A43" s="1"/>
      <c r="B43" s="312"/>
      <c r="C43" s="29" t="str">
        <f>'Valores ESTEC'!C365</f>
        <v>TK CAJA PRE-GALVANIZADA B-22 200X200X100MM</v>
      </c>
      <c r="D43" s="13"/>
      <c r="E43" s="13" t="s">
        <v>8</v>
      </c>
      <c r="F43" s="5">
        <f>'Valores ESTEC'!G365</f>
        <v>9031.25</v>
      </c>
      <c r="G43" s="16">
        <f t="shared" si="0"/>
        <v>0</v>
      </c>
      <c r="H43" s="6"/>
    </row>
    <row r="44" spans="1:8" ht="15" thickBot="1" x14ac:dyDescent="0.35">
      <c r="A44" s="1"/>
      <c r="B44" s="312"/>
      <c r="C44" s="248" t="str">
        <f>'Valores ESTEC'!C366</f>
        <v>TK CAJA PRE-GALVANIZADA B-23 300X200X150MM</v>
      </c>
      <c r="D44" s="244"/>
      <c r="E44" s="244"/>
      <c r="F44" s="245">
        <f>'Valores ESTEC'!G366</f>
        <v>15303.75</v>
      </c>
      <c r="G44" s="246">
        <f t="shared" si="0"/>
        <v>0</v>
      </c>
      <c r="H44" s="247"/>
    </row>
    <row r="45" spans="1:8" x14ac:dyDescent="0.3">
      <c r="A45" s="1"/>
      <c r="B45" s="311" t="s">
        <v>12</v>
      </c>
      <c r="C45" s="342" t="str">
        <f>'Valores ESTEC'!C367</f>
        <v>GY BANDEJA RANURADA BPCG 100X50X1.2 TIRA 3 MTS GALV</v>
      </c>
      <c r="D45" s="18"/>
      <c r="E45" s="18" t="s">
        <v>1265</v>
      </c>
      <c r="F45" s="27">
        <f>'Valores ESTEC'!G367</f>
        <v>28393.75</v>
      </c>
      <c r="G45" s="15">
        <f t="shared" si="0"/>
        <v>0</v>
      </c>
      <c r="H45" s="3"/>
    </row>
    <row r="46" spans="1:8" x14ac:dyDescent="0.3">
      <c r="A46" s="1"/>
      <c r="B46" s="312"/>
      <c r="C46" s="248" t="str">
        <f>'Valores ESTEC'!C368</f>
        <v>GY BANDEJA RANURADA BPCG 200X100X1.2 TIRA 3 MTS GALV</v>
      </c>
      <c r="D46" s="244"/>
      <c r="E46" s="244" t="s">
        <v>1266</v>
      </c>
      <c r="F46" s="245">
        <f>'Valores ESTEC'!G368</f>
        <v>52950</v>
      </c>
      <c r="G46" s="246">
        <f t="shared" si="0"/>
        <v>0</v>
      </c>
      <c r="H46" s="247"/>
    </row>
    <row r="47" spans="1:8" x14ac:dyDescent="0.3">
      <c r="A47" s="1"/>
      <c r="B47" s="312"/>
      <c r="C47" s="29" t="str">
        <f>'Valores ESTEC'!C369</f>
        <v>GY CURVA RANURADA BPCG HORIZONTAL CH90 100X50X1.2 R200 GALV</v>
      </c>
      <c r="D47" s="13"/>
      <c r="E47" s="13" t="s">
        <v>8</v>
      </c>
      <c r="F47" s="5">
        <f>'Valores ESTEC'!G369</f>
        <v>9573.75</v>
      </c>
      <c r="G47" s="16">
        <f t="shared" si="0"/>
        <v>0</v>
      </c>
      <c r="H47" s="6"/>
    </row>
    <row r="48" spans="1:8" x14ac:dyDescent="0.3">
      <c r="A48" s="1"/>
      <c r="B48" s="312"/>
      <c r="C48" s="248" t="str">
        <f>'Valores ESTEC'!C370</f>
        <v>GY CURVA RANURADA BPCG VERT INT CVI90 100X501.2 R200 GALV</v>
      </c>
      <c r="D48" s="244"/>
      <c r="E48" s="244" t="s">
        <v>8</v>
      </c>
      <c r="F48" s="245">
        <f>'Valores ESTEC'!G370</f>
        <v>8437.5</v>
      </c>
      <c r="G48" s="246">
        <f t="shared" si="0"/>
        <v>0</v>
      </c>
      <c r="H48" s="247"/>
    </row>
    <row r="49" spans="1:8" x14ac:dyDescent="0.3">
      <c r="A49" s="1"/>
      <c r="B49" s="312"/>
      <c r="C49" s="29" t="str">
        <f>'Valores ESTEC'!C371</f>
        <v>GY CURVA RANURADA BPCG CT 200X100X1.2 R200 GALV</v>
      </c>
      <c r="D49" s="13"/>
      <c r="E49" s="13" t="s">
        <v>8</v>
      </c>
      <c r="F49" s="5">
        <f>'Valores ESTEC'!G371</f>
        <v>22356.25</v>
      </c>
      <c r="G49" s="16">
        <f t="shared" si="0"/>
        <v>0</v>
      </c>
      <c r="H49" s="6"/>
    </row>
    <row r="50" spans="1:8" x14ac:dyDescent="0.3">
      <c r="A50" s="1"/>
      <c r="B50" s="312"/>
      <c r="C50" s="248" t="str">
        <f>'Valores ESTEC'!C372</f>
        <v>GY CURVA RANURADA BPCG HORIZONTAL CH90 200X100X1.2 R200 GALV</v>
      </c>
      <c r="D50" s="244"/>
      <c r="E50" s="244" t="s">
        <v>8</v>
      </c>
      <c r="F50" s="245">
        <f>'Valores ESTEC'!G372</f>
        <v>16435</v>
      </c>
      <c r="G50" s="246">
        <f t="shared" si="0"/>
        <v>0</v>
      </c>
      <c r="H50" s="247"/>
    </row>
    <row r="51" spans="1:8" x14ac:dyDescent="0.3">
      <c r="A51" s="1"/>
      <c r="B51" s="312"/>
      <c r="C51" s="29" t="str">
        <f>'Valores ESTEC'!C373</f>
        <v>GY CURVA RANURADA BPCG VERT EXT CVE90 100X50X1.2 R200 GALV</v>
      </c>
      <c r="D51" s="13"/>
      <c r="E51" s="13" t="s">
        <v>8</v>
      </c>
      <c r="F51" s="5">
        <f>'Valores ESTEC'!G373</f>
        <v>8437.5</v>
      </c>
      <c r="G51" s="16">
        <f t="shared" si="0"/>
        <v>0</v>
      </c>
      <c r="H51" s="6"/>
    </row>
    <row r="52" spans="1:8" x14ac:dyDescent="0.3">
      <c r="A52" s="1"/>
      <c r="B52" s="312"/>
      <c r="C52" s="248" t="str">
        <f>'Valores ESTEC'!C374</f>
        <v>GY CURVA RANURADA BPCG VERT EXT CVE90 200X100X1.2 R200 GALV</v>
      </c>
      <c r="D52" s="244"/>
      <c r="E52" s="244" t="s">
        <v>8</v>
      </c>
      <c r="F52" s="245">
        <f>'Valores ESTEC'!G374</f>
        <v>15527.5</v>
      </c>
      <c r="G52" s="246">
        <f t="shared" si="0"/>
        <v>0</v>
      </c>
      <c r="H52" s="247"/>
    </row>
    <row r="53" spans="1:8" x14ac:dyDescent="0.3">
      <c r="A53" s="1"/>
      <c r="B53" s="312"/>
      <c r="C53" s="29" t="str">
        <f>'Valores ESTEC'!C375</f>
        <v>GY CURVA RANURADA BPCG VERT INT CVI90 200X100X1.2 R200 GALV</v>
      </c>
      <c r="D53" s="13"/>
      <c r="E53" s="13" t="s">
        <v>8</v>
      </c>
      <c r="F53" s="5">
        <f>'Valores ESTEC'!G375</f>
        <v>14685</v>
      </c>
      <c r="G53" s="16">
        <f t="shared" si="0"/>
        <v>0</v>
      </c>
      <c r="H53" s="6"/>
    </row>
    <row r="54" spans="1:8" x14ac:dyDescent="0.3">
      <c r="A54" s="1"/>
      <c r="B54" s="312"/>
      <c r="C54" s="248" t="str">
        <f>'Valores ESTEC'!C376</f>
        <v>GY CURVA RANURADA BPCG CT 100X50X1.2 R200 GALV</v>
      </c>
      <c r="D54" s="244"/>
      <c r="E54" s="244" t="s">
        <v>8</v>
      </c>
      <c r="F54" s="245">
        <f>'Valores ESTEC'!G376</f>
        <v>21652.5</v>
      </c>
      <c r="G54" s="246">
        <f t="shared" si="0"/>
        <v>0</v>
      </c>
      <c r="H54" s="247"/>
    </row>
    <row r="55" spans="1:8" x14ac:dyDescent="0.3">
      <c r="A55" s="1"/>
      <c r="B55" s="312"/>
      <c r="C55" s="29" t="str">
        <f>'Valores ESTEC'!C377</f>
        <v>GY ESCALERILLA EPCG 300X100X2.0 TIRA 3 MTS GALV</v>
      </c>
      <c r="D55" s="13"/>
      <c r="E55" s="13" t="s">
        <v>1266</v>
      </c>
      <c r="F55" s="5">
        <f>'Valores ESTEC'!G377</f>
        <v>71065</v>
      </c>
      <c r="G55" s="16">
        <f t="shared" si="0"/>
        <v>0</v>
      </c>
      <c r="H55" s="6"/>
    </row>
    <row r="56" spans="1:8" x14ac:dyDescent="0.3">
      <c r="A56" s="1"/>
      <c r="B56" s="312"/>
      <c r="C56" s="248" t="str">
        <f>'Valores ESTEC'!C378</f>
        <v>GY TAPA BPCG EPCG 200X15X1.2 TIRA 3MTS GALV</v>
      </c>
      <c r="D56" s="244"/>
      <c r="E56" s="244" t="s">
        <v>1266</v>
      </c>
      <c r="F56" s="245">
        <f>'Valores ESTEC'!G378</f>
        <v>28653.75</v>
      </c>
      <c r="G56" s="246">
        <f t="shared" si="0"/>
        <v>0</v>
      </c>
      <c r="H56" s="247"/>
    </row>
    <row r="57" spans="1:8" x14ac:dyDescent="0.3">
      <c r="A57" s="1"/>
      <c r="B57" s="312"/>
      <c r="C57" s="29" t="str">
        <f>'Valores ESTEC'!C379</f>
        <v>GY TAPA BPCG EPCG 300X15X1.2 TIRA 3 MTS GALV</v>
      </c>
      <c r="D57" s="13"/>
      <c r="E57" s="13" t="s">
        <v>1266</v>
      </c>
      <c r="F57" s="5">
        <f>'Valores ESTEC'!G379</f>
        <v>42261.25</v>
      </c>
      <c r="G57" s="16">
        <f t="shared" si="0"/>
        <v>0</v>
      </c>
      <c r="H57" s="6"/>
    </row>
    <row r="58" spans="1:8" x14ac:dyDescent="0.3">
      <c r="A58" s="1"/>
      <c r="B58" s="312"/>
      <c r="C58" s="248" t="str">
        <f>'Valores ESTEC'!C380</f>
        <v>GY ESCALERILLA EPCG 200X100X2.0 TIRA 3 MTS GALV</v>
      </c>
      <c r="D58" s="244"/>
      <c r="E58" s="244" t="s">
        <v>1266</v>
      </c>
      <c r="F58" s="245">
        <f>'Valores ESTEC'!G380</f>
        <v>68112.5</v>
      </c>
      <c r="G58" s="246">
        <f t="shared" si="0"/>
        <v>0</v>
      </c>
      <c r="H58" s="247"/>
    </row>
    <row r="59" spans="1:8" x14ac:dyDescent="0.3">
      <c r="A59" s="1"/>
      <c r="B59" s="312"/>
      <c r="C59" s="29" t="str">
        <f>'Valores ESTEC'!C381</f>
        <v>GY TAPA BPCG EPCG 100X15X1.2 TIRA 3 MTS GALV</v>
      </c>
      <c r="D59" s="13"/>
      <c r="E59" s="13" t="s">
        <v>1266</v>
      </c>
      <c r="F59" s="5">
        <f>'Valores ESTEC'!G381</f>
        <v>23660</v>
      </c>
      <c r="G59" s="16">
        <f t="shared" si="0"/>
        <v>0</v>
      </c>
      <c r="H59" s="6"/>
    </row>
    <row r="60" spans="1:8" x14ac:dyDescent="0.3">
      <c r="A60" s="1"/>
      <c r="B60" s="312"/>
      <c r="C60" s="248"/>
      <c r="D60" s="244"/>
      <c r="E60" s="244"/>
      <c r="F60" s="245"/>
      <c r="G60" s="246">
        <f t="shared" si="0"/>
        <v>0</v>
      </c>
      <c r="H60" s="247"/>
    </row>
    <row r="61" spans="1:8" x14ac:dyDescent="0.3">
      <c r="A61" s="1"/>
      <c r="B61" s="312"/>
      <c r="C61" s="29" t="s">
        <v>14</v>
      </c>
      <c r="D61" s="13"/>
      <c r="E61" s="13" t="s">
        <v>8</v>
      </c>
      <c r="F61" s="5">
        <v>1351</v>
      </c>
      <c r="G61" s="16">
        <f t="shared" si="0"/>
        <v>0</v>
      </c>
      <c r="H61" s="6"/>
    </row>
    <row r="62" spans="1:8" x14ac:dyDescent="0.3">
      <c r="A62" s="1"/>
      <c r="B62" s="312"/>
      <c r="C62" s="248" t="s">
        <v>15</v>
      </c>
      <c r="D62" s="244"/>
      <c r="E62" s="244" t="s">
        <v>16</v>
      </c>
      <c r="F62" s="245">
        <f>'Valores ESTEC'!G38</f>
        <v>7810</v>
      </c>
      <c r="G62" s="246">
        <f t="shared" si="0"/>
        <v>0</v>
      </c>
      <c r="H62" s="247"/>
    </row>
    <row r="63" spans="1:8" x14ac:dyDescent="0.3">
      <c r="A63" s="1"/>
      <c r="B63" s="312"/>
      <c r="C63" s="29" t="s">
        <v>17</v>
      </c>
      <c r="D63" s="13"/>
      <c r="E63" s="13" t="s">
        <v>8</v>
      </c>
      <c r="F63" s="5">
        <v>100</v>
      </c>
      <c r="G63" s="16">
        <f t="shared" si="0"/>
        <v>0</v>
      </c>
      <c r="H63" s="6"/>
    </row>
    <row r="64" spans="1:8" x14ac:dyDescent="0.3">
      <c r="A64" s="1"/>
      <c r="B64" s="312"/>
      <c r="C64" s="248" t="s">
        <v>18</v>
      </c>
      <c r="D64" s="244"/>
      <c r="E64" s="244" t="s">
        <v>8</v>
      </c>
      <c r="F64" s="245">
        <v>150</v>
      </c>
      <c r="G64" s="246">
        <f t="shared" si="0"/>
        <v>0</v>
      </c>
      <c r="H64" s="247"/>
    </row>
    <row r="65" spans="1:8" x14ac:dyDescent="0.3">
      <c r="A65" s="1"/>
      <c r="B65" s="312"/>
      <c r="C65" s="29" t="s">
        <v>19</v>
      </c>
      <c r="D65" s="13"/>
      <c r="E65" s="13" t="s">
        <v>8</v>
      </c>
      <c r="F65" s="5">
        <v>40</v>
      </c>
      <c r="G65" s="16">
        <f t="shared" si="0"/>
        <v>0</v>
      </c>
      <c r="H65" s="6"/>
    </row>
    <row r="66" spans="1:8" x14ac:dyDescent="0.3">
      <c r="A66" s="1"/>
      <c r="B66" s="312"/>
      <c r="C66" s="248" t="s">
        <v>20</v>
      </c>
      <c r="D66" s="244"/>
      <c r="E66" s="244" t="s">
        <v>8</v>
      </c>
      <c r="F66" s="245">
        <v>150</v>
      </c>
      <c r="G66" s="246">
        <f t="shared" ref="G66:G100" si="1">F66*D66</f>
        <v>0</v>
      </c>
      <c r="H66" s="247"/>
    </row>
    <row r="67" spans="1:8" x14ac:dyDescent="0.3">
      <c r="A67" s="1"/>
      <c r="B67" s="312"/>
      <c r="C67" s="29" t="s">
        <v>21</v>
      </c>
      <c r="D67" s="13"/>
      <c r="E67" s="13" t="s">
        <v>8</v>
      </c>
      <c r="F67" s="5">
        <v>300</v>
      </c>
      <c r="G67" s="16">
        <f t="shared" si="1"/>
        <v>0</v>
      </c>
      <c r="H67" s="6"/>
    </row>
    <row r="68" spans="1:8" x14ac:dyDescent="0.3">
      <c r="A68" s="1"/>
      <c r="B68" s="312"/>
      <c r="C68" s="248" t="s">
        <v>22</v>
      </c>
      <c r="D68" s="244"/>
      <c r="E68" s="244" t="s">
        <v>13</v>
      </c>
      <c r="F68" s="245">
        <v>3542</v>
      </c>
      <c r="G68" s="246">
        <f t="shared" si="1"/>
        <v>0</v>
      </c>
      <c r="H68" s="247"/>
    </row>
    <row r="69" spans="1:8" x14ac:dyDescent="0.3">
      <c r="A69" s="1"/>
      <c r="B69" s="312"/>
      <c r="C69" s="29" t="s">
        <v>151</v>
      </c>
      <c r="D69" s="13"/>
      <c r="E69" s="13" t="s">
        <v>9</v>
      </c>
      <c r="F69" s="5">
        <v>21307</v>
      </c>
      <c r="G69" s="16">
        <f t="shared" si="1"/>
        <v>0</v>
      </c>
      <c r="H69" s="6"/>
    </row>
    <row r="70" spans="1:8" x14ac:dyDescent="0.3">
      <c r="A70" s="1"/>
      <c r="B70" s="312"/>
      <c r="C70" s="248" t="s">
        <v>152</v>
      </c>
      <c r="D70" s="244"/>
      <c r="E70" s="244" t="s">
        <v>9</v>
      </c>
      <c r="F70" s="245">
        <v>3005</v>
      </c>
      <c r="G70" s="246">
        <f t="shared" si="1"/>
        <v>0</v>
      </c>
      <c r="H70" s="247"/>
    </row>
    <row r="71" spans="1:8" x14ac:dyDescent="0.3">
      <c r="A71" s="1"/>
      <c r="B71" s="312"/>
      <c r="C71" s="29" t="s">
        <v>153</v>
      </c>
      <c r="D71" s="13"/>
      <c r="E71" s="13" t="s">
        <v>8</v>
      </c>
      <c r="F71" s="5">
        <v>498</v>
      </c>
      <c r="G71" s="16">
        <f t="shared" si="1"/>
        <v>0</v>
      </c>
      <c r="H71" s="6"/>
    </row>
    <row r="72" spans="1:8" x14ac:dyDescent="0.3">
      <c r="A72" s="1"/>
      <c r="B72" s="312"/>
      <c r="C72" s="248" t="s">
        <v>154</v>
      </c>
      <c r="D72" s="244"/>
      <c r="E72" s="244" t="s">
        <v>8</v>
      </c>
      <c r="F72" s="245">
        <v>389</v>
      </c>
      <c r="G72" s="246">
        <f t="shared" si="1"/>
        <v>0</v>
      </c>
      <c r="H72" s="247"/>
    </row>
    <row r="73" spans="1:8" x14ac:dyDescent="0.3">
      <c r="A73" s="1"/>
      <c r="B73" s="312"/>
      <c r="C73" s="29" t="s">
        <v>155</v>
      </c>
      <c r="D73" s="13"/>
      <c r="E73" s="13" t="s">
        <v>156</v>
      </c>
      <c r="F73" s="5">
        <v>27008</v>
      </c>
      <c r="G73" s="16">
        <f t="shared" si="1"/>
        <v>0</v>
      </c>
      <c r="H73" s="6"/>
    </row>
    <row r="74" spans="1:8" x14ac:dyDescent="0.3">
      <c r="A74" s="1"/>
      <c r="B74" s="312"/>
      <c r="C74" s="248" t="s">
        <v>136</v>
      </c>
      <c r="D74" s="244"/>
      <c r="E74" s="244" t="s">
        <v>8</v>
      </c>
      <c r="F74" s="245">
        <v>25412</v>
      </c>
      <c r="G74" s="246">
        <f t="shared" si="1"/>
        <v>0</v>
      </c>
      <c r="H74" s="247"/>
    </row>
    <row r="75" spans="1:8" ht="15" thickBot="1" x14ac:dyDescent="0.35">
      <c r="A75" s="1"/>
      <c r="B75" s="313"/>
      <c r="C75" s="29" t="s">
        <v>137</v>
      </c>
      <c r="D75" s="13"/>
      <c r="E75" s="13" t="s">
        <v>8</v>
      </c>
      <c r="F75" s="5">
        <v>12210</v>
      </c>
      <c r="G75" s="16">
        <f t="shared" si="1"/>
        <v>0</v>
      </c>
      <c r="H75" s="6"/>
    </row>
    <row r="76" spans="1:8" x14ac:dyDescent="0.3">
      <c r="A76" s="1"/>
      <c r="B76" s="311" t="s">
        <v>23</v>
      </c>
      <c r="C76" s="342" t="s">
        <v>24</v>
      </c>
      <c r="D76" s="12"/>
      <c r="E76" s="12" t="s">
        <v>9</v>
      </c>
      <c r="F76" s="27">
        <f>'Valores ESTEC'!G123</f>
        <v>721.25</v>
      </c>
      <c r="G76" s="15">
        <f t="shared" si="1"/>
        <v>0</v>
      </c>
      <c r="H76" s="22"/>
    </row>
    <row r="77" spans="1:8" x14ac:dyDescent="0.3">
      <c r="A77" s="1"/>
      <c r="B77" s="312"/>
      <c r="C77" s="248" t="s">
        <v>624</v>
      </c>
      <c r="D77" s="244"/>
      <c r="E77" s="244" t="s">
        <v>8</v>
      </c>
      <c r="F77" s="245">
        <f>'Valores ESTEC'!G124</f>
        <v>75</v>
      </c>
      <c r="G77" s="246">
        <f t="shared" si="1"/>
        <v>0</v>
      </c>
      <c r="H77" s="258"/>
    </row>
    <row r="78" spans="1:8" x14ac:dyDescent="0.3">
      <c r="A78" s="1"/>
      <c r="B78" s="312"/>
      <c r="C78" s="29" t="s">
        <v>626</v>
      </c>
      <c r="D78" s="13"/>
      <c r="E78" s="13" t="s">
        <v>8</v>
      </c>
      <c r="F78" s="5">
        <f>'Valores ESTEC'!G125</f>
        <v>208.75</v>
      </c>
      <c r="G78" s="16">
        <f t="shared" si="1"/>
        <v>0</v>
      </c>
      <c r="H78" s="23"/>
    </row>
    <row r="79" spans="1:8" x14ac:dyDescent="0.3">
      <c r="A79" s="1"/>
      <c r="B79" s="312"/>
      <c r="C79" s="248" t="s">
        <v>25</v>
      </c>
      <c r="D79" s="244"/>
      <c r="E79" s="244" t="s">
        <v>8</v>
      </c>
      <c r="F79" s="245">
        <v>57</v>
      </c>
      <c r="G79" s="246">
        <f t="shared" si="1"/>
        <v>0</v>
      </c>
      <c r="H79" s="258"/>
    </row>
    <row r="80" spans="1:8" x14ac:dyDescent="0.3">
      <c r="A80" s="1"/>
      <c r="B80" s="312"/>
      <c r="C80" s="29" t="s">
        <v>26</v>
      </c>
      <c r="D80" s="21"/>
      <c r="E80" s="21" t="s">
        <v>9</v>
      </c>
      <c r="F80" s="5">
        <f>'Valores ESTEC'!G126</f>
        <v>930</v>
      </c>
      <c r="G80" s="16">
        <f t="shared" si="1"/>
        <v>0</v>
      </c>
      <c r="H80" s="23"/>
    </row>
    <row r="81" spans="1:8" x14ac:dyDescent="0.3">
      <c r="A81" s="1"/>
      <c r="B81" s="312"/>
      <c r="C81" s="248" t="s">
        <v>27</v>
      </c>
      <c r="D81" s="244"/>
      <c r="E81" s="244" t="s">
        <v>8</v>
      </c>
      <c r="F81" s="245">
        <f>'Valores ESTEC'!G127</f>
        <v>95</v>
      </c>
      <c r="G81" s="246">
        <f t="shared" si="1"/>
        <v>0</v>
      </c>
      <c r="H81" s="258"/>
    </row>
    <row r="82" spans="1:8" x14ac:dyDescent="0.3">
      <c r="A82" s="1"/>
      <c r="B82" s="312"/>
      <c r="C82" s="29" t="s">
        <v>28</v>
      </c>
      <c r="D82" s="21"/>
      <c r="E82" s="21" t="s">
        <v>8</v>
      </c>
      <c r="F82" s="5">
        <f>'Valores ESTEC'!G128</f>
        <v>267.5</v>
      </c>
      <c r="G82" s="16">
        <f t="shared" si="1"/>
        <v>0</v>
      </c>
      <c r="H82" s="23"/>
    </row>
    <row r="83" spans="1:8" x14ac:dyDescent="0.3">
      <c r="A83" s="1"/>
      <c r="B83" s="312"/>
      <c r="C83" s="248" t="s">
        <v>29</v>
      </c>
      <c r="D83" s="244"/>
      <c r="E83" s="244" t="s">
        <v>8</v>
      </c>
      <c r="F83" s="245">
        <v>65</v>
      </c>
      <c r="G83" s="246">
        <f t="shared" si="1"/>
        <v>0</v>
      </c>
      <c r="H83" s="258"/>
    </row>
    <row r="84" spans="1:8" x14ac:dyDescent="0.3">
      <c r="A84" s="1"/>
      <c r="B84" s="312"/>
      <c r="C84" s="29" t="s">
        <v>30</v>
      </c>
      <c r="D84" s="21"/>
      <c r="E84" s="21" t="s">
        <v>9</v>
      </c>
      <c r="F84" s="5">
        <f>'Valores ESTEC'!G129</f>
        <v>1410</v>
      </c>
      <c r="G84" s="16">
        <f t="shared" si="1"/>
        <v>0</v>
      </c>
      <c r="H84" s="23"/>
    </row>
    <row r="85" spans="1:8" x14ac:dyDescent="0.3">
      <c r="A85" s="1"/>
      <c r="B85" s="312"/>
      <c r="C85" s="248" t="s">
        <v>31</v>
      </c>
      <c r="D85" s="244"/>
      <c r="E85" s="244" t="s">
        <v>8</v>
      </c>
      <c r="F85" s="245">
        <f>'Valores ESTEC'!G130</f>
        <v>215</v>
      </c>
      <c r="G85" s="246">
        <f t="shared" si="1"/>
        <v>0</v>
      </c>
      <c r="H85" s="258"/>
    </row>
    <row r="86" spans="1:8" x14ac:dyDescent="0.3">
      <c r="A86" s="1"/>
      <c r="B86" s="312"/>
      <c r="C86" s="29" t="s">
        <v>32</v>
      </c>
      <c r="D86" s="21"/>
      <c r="E86" s="21" t="s">
        <v>8</v>
      </c>
      <c r="F86" s="5">
        <f>'Valores ESTEC'!G131</f>
        <v>330</v>
      </c>
      <c r="G86" s="16">
        <f t="shared" si="1"/>
        <v>0</v>
      </c>
      <c r="H86" s="23"/>
    </row>
    <row r="87" spans="1:8" x14ac:dyDescent="0.3">
      <c r="A87" s="1"/>
      <c r="B87" s="312"/>
      <c r="C87" s="248" t="s">
        <v>33</v>
      </c>
      <c r="D87" s="244"/>
      <c r="E87" s="244" t="s">
        <v>8</v>
      </c>
      <c r="F87" s="245">
        <v>96</v>
      </c>
      <c r="G87" s="246">
        <f t="shared" si="1"/>
        <v>0</v>
      </c>
      <c r="H87" s="258"/>
    </row>
    <row r="88" spans="1:8" x14ac:dyDescent="0.3">
      <c r="A88" s="1"/>
      <c r="B88" s="312"/>
      <c r="C88" s="29" t="str">
        <f>'Valores ESTEC'!C382</f>
        <v>TUBO CONDUIT PVC 40MM 3 MTS</v>
      </c>
      <c r="D88" s="21"/>
      <c r="E88" s="21" t="s">
        <v>9</v>
      </c>
      <c r="F88" s="5">
        <f>'Valores ESTEC'!G382</f>
        <v>2453.75</v>
      </c>
      <c r="G88" s="16">
        <f t="shared" si="1"/>
        <v>0</v>
      </c>
      <c r="H88" s="23"/>
    </row>
    <row r="89" spans="1:8" x14ac:dyDescent="0.3">
      <c r="A89" s="1"/>
      <c r="B89" s="312"/>
      <c r="C89" s="248" t="str">
        <f>'Valores ESTEC'!C383</f>
        <v>CURVA 90° CONDUIT PVC 40MM</v>
      </c>
      <c r="D89" s="244"/>
      <c r="E89" s="244" t="s">
        <v>8</v>
      </c>
      <c r="F89" s="245">
        <f>'Valores ESTEC'!G383</f>
        <v>517.5</v>
      </c>
      <c r="G89" s="246">
        <f t="shared" si="1"/>
        <v>0</v>
      </c>
      <c r="H89" s="258"/>
    </row>
    <row r="90" spans="1:8" x14ac:dyDescent="0.3">
      <c r="A90" s="1"/>
      <c r="B90" s="312"/>
      <c r="C90" s="29" t="str">
        <f>'Valores ESTEC'!C384</f>
        <v>TUBO CONDUIT PVC 50MM 3 MTS</v>
      </c>
      <c r="D90" s="21"/>
      <c r="E90" s="21" t="s">
        <v>1265</v>
      </c>
      <c r="F90" s="5">
        <f>'Valores ESTEC'!G384</f>
        <v>3588.75</v>
      </c>
      <c r="G90" s="16">
        <f t="shared" si="1"/>
        <v>0</v>
      </c>
      <c r="H90" s="23"/>
    </row>
    <row r="91" spans="1:8" x14ac:dyDescent="0.3">
      <c r="A91" s="1"/>
      <c r="B91" s="312"/>
      <c r="C91" s="248" t="str">
        <f>'Valores ESTEC'!C385</f>
        <v>CURVA 90° CONDUIT PVC 50MM</v>
      </c>
      <c r="D91" s="244"/>
      <c r="E91" s="244" t="s">
        <v>8</v>
      </c>
      <c r="F91" s="245">
        <f>'Valores ESTEC'!G385</f>
        <v>1076.25</v>
      </c>
      <c r="G91" s="246">
        <f t="shared" si="1"/>
        <v>0</v>
      </c>
      <c r="H91" s="258"/>
    </row>
    <row r="92" spans="1:8" x14ac:dyDescent="0.3">
      <c r="A92" s="1"/>
      <c r="B92" s="312"/>
      <c r="C92" s="29" t="str">
        <f>'Valores ESTEC'!C386</f>
        <v>TERMINAL COMPLETO CONDUIT PVC 50MM</v>
      </c>
      <c r="D92" s="21"/>
      <c r="E92" s="21" t="s">
        <v>8</v>
      </c>
      <c r="F92" s="5">
        <f>'Valores ESTEC'!G386</f>
        <v>917.5</v>
      </c>
      <c r="G92" s="16">
        <f t="shared" si="1"/>
        <v>0</v>
      </c>
      <c r="H92" s="23"/>
    </row>
    <row r="93" spans="1:8" x14ac:dyDescent="0.3">
      <c r="A93" s="1"/>
      <c r="B93" s="312"/>
      <c r="C93" s="248" t="str">
        <f>'Valores ESTEC'!C387</f>
        <v>SALIDA DE CAJA CONDUIT PVC 50MM</v>
      </c>
      <c r="D93" s="244"/>
      <c r="E93" s="244" t="s">
        <v>8</v>
      </c>
      <c r="F93" s="245">
        <f>'Valores ESTEC'!G387</f>
        <v>455</v>
      </c>
      <c r="G93" s="246">
        <f t="shared" si="1"/>
        <v>0</v>
      </c>
      <c r="H93" s="258"/>
    </row>
    <row r="94" spans="1:8" x14ac:dyDescent="0.3">
      <c r="A94" s="1"/>
      <c r="B94" s="312"/>
      <c r="C94" s="29" t="str">
        <f>'Valores ESTEC'!C392</f>
        <v>ABRAZADERA METALICA OMEGA 40MM TSP-40</v>
      </c>
      <c r="D94" s="21"/>
      <c r="E94" s="21" t="s">
        <v>8</v>
      </c>
      <c r="F94" s="5">
        <f>'Valores ESTEC'!G392</f>
        <v>63.75</v>
      </c>
      <c r="G94" s="16">
        <f t="shared" si="1"/>
        <v>0</v>
      </c>
      <c r="H94" s="23"/>
    </row>
    <row r="95" spans="1:8" x14ac:dyDescent="0.3">
      <c r="A95" s="1"/>
      <c r="B95" s="312"/>
      <c r="C95" s="248" t="str">
        <f>'Valores ESTEC'!C393</f>
        <v>ABRAZADERA METALICA OMEGA 50MM TSP-50</v>
      </c>
      <c r="D95" s="244"/>
      <c r="E95" s="244" t="s">
        <v>8</v>
      </c>
      <c r="F95" s="245">
        <f>'Valores ESTEC'!G393</f>
        <v>96.25</v>
      </c>
      <c r="G95" s="246">
        <f t="shared" si="1"/>
        <v>0</v>
      </c>
      <c r="H95" s="258"/>
    </row>
    <row r="96" spans="1:8" x14ac:dyDescent="0.3">
      <c r="A96" s="1"/>
      <c r="B96" s="312"/>
      <c r="C96" s="29" t="s">
        <v>34</v>
      </c>
      <c r="D96" s="21"/>
      <c r="E96" s="21" t="s">
        <v>8</v>
      </c>
      <c r="F96" s="5">
        <f>'Valores ESTEC'!E223</f>
        <v>867</v>
      </c>
      <c r="G96" s="16">
        <f t="shared" si="1"/>
        <v>0</v>
      </c>
      <c r="H96" s="23"/>
    </row>
    <row r="97" spans="1:8" x14ac:dyDescent="0.3">
      <c r="A97" s="1"/>
      <c r="B97" s="312"/>
      <c r="C97" s="248" t="str">
        <f>'Valores ESTEC'!C394</f>
        <v>LX CAJA ESTANCA 85X85X50 IP55 7 SALIDAS</v>
      </c>
      <c r="D97" s="244"/>
      <c r="E97" s="244" t="s">
        <v>8</v>
      </c>
      <c r="F97" s="245">
        <f>'Valores ESTEC'!G394</f>
        <v>1232.5</v>
      </c>
      <c r="G97" s="246">
        <f t="shared" si="1"/>
        <v>0</v>
      </c>
      <c r="H97" s="258"/>
    </row>
    <row r="98" spans="1:8" x14ac:dyDescent="0.3">
      <c r="A98" s="1"/>
      <c r="B98" s="312"/>
      <c r="C98" s="29" t="str">
        <f>'Valores ESTEC'!C395</f>
        <v>LX CAJA ESTANCA 100X100X70 IP55 7 SALIDAS</v>
      </c>
      <c r="D98" s="21"/>
      <c r="E98" s="21" t="s">
        <v>8</v>
      </c>
      <c r="F98" s="5">
        <f>'Valores ESTEC'!G395</f>
        <v>2075</v>
      </c>
      <c r="G98" s="16">
        <f t="shared" si="1"/>
        <v>0</v>
      </c>
      <c r="H98" s="23"/>
    </row>
    <row r="99" spans="1:8" x14ac:dyDescent="0.3">
      <c r="A99" s="1"/>
      <c r="B99" s="312"/>
      <c r="C99" s="248" t="str">
        <f>'Valores ESTEC'!C396</f>
        <v>LX CAJA ESTANCA 200X100X70 IP65 CON 8 SALIDAS</v>
      </c>
      <c r="D99" s="244"/>
      <c r="E99" s="244" t="s">
        <v>8</v>
      </c>
      <c r="F99" s="245">
        <f>'Valores ESTEC'!G396</f>
        <v>3478.75</v>
      </c>
      <c r="G99" s="246">
        <f t="shared" si="1"/>
        <v>0</v>
      </c>
      <c r="H99" s="258"/>
    </row>
    <row r="100" spans="1:8" ht="15" thickBot="1" x14ac:dyDescent="0.35">
      <c r="A100" s="1"/>
      <c r="B100" s="312"/>
      <c r="C100" s="29" t="str">
        <f>'Valores ESTEC'!C397</f>
        <v>LX CAJA ESTANCA 255X200X80 IP55 12 SALIDAS</v>
      </c>
      <c r="D100" s="21"/>
      <c r="E100" s="21" t="s">
        <v>8</v>
      </c>
      <c r="F100" s="5">
        <f>'Valores ESTEC'!G397</f>
        <v>8913.75</v>
      </c>
      <c r="G100" s="16">
        <f t="shared" si="1"/>
        <v>0</v>
      </c>
      <c r="H100" s="23"/>
    </row>
    <row r="101" spans="1:8" x14ac:dyDescent="0.3">
      <c r="A101" s="1"/>
      <c r="B101" s="311" t="s">
        <v>35</v>
      </c>
      <c r="C101" s="342" t="s">
        <v>36</v>
      </c>
      <c r="D101" s="18"/>
      <c r="E101" s="18" t="s">
        <v>13</v>
      </c>
      <c r="F101" s="27">
        <f>'Valores ESTEC'!G88/2</f>
        <v>2061.25</v>
      </c>
      <c r="G101" s="15">
        <f>F101*D101</f>
        <v>0</v>
      </c>
      <c r="H101" s="22"/>
    </row>
    <row r="102" spans="1:8" x14ac:dyDescent="0.3">
      <c r="A102" s="1"/>
      <c r="B102" s="312"/>
      <c r="C102" s="248" t="s">
        <v>37</v>
      </c>
      <c r="D102" s="257"/>
      <c r="E102" s="257" t="s">
        <v>8</v>
      </c>
      <c r="F102" s="245">
        <f>'Valores ESTEC'!G90</f>
        <v>452.5</v>
      </c>
      <c r="G102" s="246">
        <f>F102*D102</f>
        <v>0</v>
      </c>
      <c r="H102" s="258"/>
    </row>
    <row r="103" spans="1:8" x14ac:dyDescent="0.3">
      <c r="A103" s="1"/>
      <c r="B103" s="312"/>
      <c r="C103" s="29" t="s">
        <v>38</v>
      </c>
      <c r="D103" s="19"/>
      <c r="E103" s="19" t="s">
        <v>8</v>
      </c>
      <c r="F103" s="5">
        <f>'Valores ESTEC'!G89</f>
        <v>530</v>
      </c>
      <c r="G103" s="16">
        <f>F103*D103</f>
        <v>0</v>
      </c>
      <c r="H103" s="23"/>
    </row>
    <row r="104" spans="1:8" x14ac:dyDescent="0.3">
      <c r="A104" s="1"/>
      <c r="B104" s="312"/>
      <c r="C104" s="248" t="s">
        <v>39</v>
      </c>
      <c r="D104" s="257"/>
      <c r="E104" s="257" t="s">
        <v>8</v>
      </c>
      <c r="F104" s="245">
        <f>'Valores ESTEC'!G91</f>
        <v>636.25</v>
      </c>
      <c r="G104" s="246">
        <f t="shared" ref="G104:G107" si="2">F104*D104</f>
        <v>0</v>
      </c>
      <c r="H104" s="258"/>
    </row>
    <row r="105" spans="1:8" x14ac:dyDescent="0.3">
      <c r="A105" s="1"/>
      <c r="B105" s="312"/>
      <c r="C105" s="29" t="s">
        <v>40</v>
      </c>
      <c r="D105" s="19"/>
      <c r="E105" s="19" t="s">
        <v>8</v>
      </c>
      <c r="F105" s="5">
        <f>'Valores ESTEC'!G93</f>
        <v>518.75</v>
      </c>
      <c r="G105" s="16">
        <f t="shared" si="2"/>
        <v>0</v>
      </c>
      <c r="H105" s="23"/>
    </row>
    <row r="106" spans="1:8" x14ac:dyDescent="0.3">
      <c r="A106" s="1"/>
      <c r="B106" s="312"/>
      <c r="C106" s="248" t="s">
        <v>41</v>
      </c>
      <c r="D106" s="257"/>
      <c r="E106" s="257" t="s">
        <v>8</v>
      </c>
      <c r="F106" s="245">
        <f>'Valores ESTEC'!G92</f>
        <v>730</v>
      </c>
      <c r="G106" s="246">
        <f t="shared" si="2"/>
        <v>0</v>
      </c>
      <c r="H106" s="258"/>
    </row>
    <row r="107" spans="1:8" x14ac:dyDescent="0.3">
      <c r="A107" s="1"/>
      <c r="B107" s="312"/>
      <c r="C107" s="29" t="s">
        <v>42</v>
      </c>
      <c r="D107" s="19"/>
      <c r="E107" s="19" t="s">
        <v>13</v>
      </c>
      <c r="F107" s="5">
        <f>'Valores ESTEC'!G83/2</f>
        <v>7497.5</v>
      </c>
      <c r="G107" s="16">
        <f t="shared" si="2"/>
        <v>0</v>
      </c>
      <c r="H107" s="23"/>
    </row>
    <row r="108" spans="1:8" x14ac:dyDescent="0.3">
      <c r="A108" s="1"/>
      <c r="B108" s="312"/>
      <c r="C108" s="248" t="s">
        <v>43</v>
      </c>
      <c r="D108" s="257"/>
      <c r="E108" s="257" t="s">
        <v>8</v>
      </c>
      <c r="F108" s="245">
        <f>'Valores ESTEC'!G81</f>
        <v>2780</v>
      </c>
      <c r="G108" s="246">
        <f>F108*D108</f>
        <v>0</v>
      </c>
      <c r="H108" s="258"/>
    </row>
    <row r="109" spans="1:8" x14ac:dyDescent="0.3">
      <c r="A109" s="1"/>
      <c r="B109" s="312"/>
      <c r="C109" s="29" t="s">
        <v>44</v>
      </c>
      <c r="D109" s="19"/>
      <c r="E109" s="19" t="s">
        <v>8</v>
      </c>
      <c r="F109" s="5">
        <f>'Valores ESTEC'!G80</f>
        <v>5527.5</v>
      </c>
      <c r="G109" s="16">
        <f>F109*D109</f>
        <v>0</v>
      </c>
      <c r="H109" s="23"/>
    </row>
    <row r="110" spans="1:8" x14ac:dyDescent="0.3">
      <c r="A110" s="1"/>
      <c r="B110" s="312"/>
      <c r="C110" s="248" t="s">
        <v>45</v>
      </c>
      <c r="D110" s="257"/>
      <c r="E110" s="257" t="s">
        <v>8</v>
      </c>
      <c r="F110" s="245">
        <f>'Valores ESTEC'!G82</f>
        <v>4452.5</v>
      </c>
      <c r="G110" s="246">
        <f t="shared" ref="G110:G131" si="3">F110*D110</f>
        <v>0</v>
      </c>
      <c r="H110" s="258"/>
    </row>
    <row r="111" spans="1:8" x14ac:dyDescent="0.3">
      <c r="A111" s="1"/>
      <c r="B111" s="312"/>
      <c r="C111" s="29" t="s">
        <v>46</v>
      </c>
      <c r="D111" s="19"/>
      <c r="E111" s="19" t="s">
        <v>8</v>
      </c>
      <c r="F111" s="5">
        <f>'Valores ESTEC'!G86</f>
        <v>2108.75</v>
      </c>
      <c r="G111" s="16">
        <f t="shared" si="3"/>
        <v>0</v>
      </c>
      <c r="H111" s="23"/>
    </row>
    <row r="112" spans="1:8" x14ac:dyDescent="0.3">
      <c r="A112" s="1"/>
      <c r="B112" s="312"/>
      <c r="C112" s="248" t="s">
        <v>47</v>
      </c>
      <c r="D112" s="257"/>
      <c r="E112" s="257" t="s">
        <v>8</v>
      </c>
      <c r="F112" s="245">
        <f>'Valores ESTEC'!G84</f>
        <v>4873.75</v>
      </c>
      <c r="G112" s="246">
        <f t="shared" si="3"/>
        <v>0</v>
      </c>
      <c r="H112" s="258"/>
    </row>
    <row r="113" spans="1:8" x14ac:dyDescent="0.3">
      <c r="A113" s="1"/>
      <c r="B113" s="312"/>
      <c r="C113" s="29" t="s">
        <v>218</v>
      </c>
      <c r="D113" s="19"/>
      <c r="E113" s="19" t="s">
        <v>8</v>
      </c>
      <c r="F113" s="5">
        <f>'Valores ESTEC'!G87</f>
        <v>898.75</v>
      </c>
      <c r="G113" s="16">
        <f t="shared" si="3"/>
        <v>0</v>
      </c>
      <c r="H113" s="23"/>
    </row>
    <row r="114" spans="1:8" x14ac:dyDescent="0.3">
      <c r="A114" s="1"/>
      <c r="B114" s="312"/>
      <c r="C114" s="248" t="s">
        <v>48</v>
      </c>
      <c r="D114" s="257"/>
      <c r="E114" s="257" t="s">
        <v>8</v>
      </c>
      <c r="F114" s="245">
        <v>1355</v>
      </c>
      <c r="G114" s="246">
        <f t="shared" si="3"/>
        <v>0</v>
      </c>
      <c r="H114" s="258"/>
    </row>
    <row r="115" spans="1:8" x14ac:dyDescent="0.3">
      <c r="A115" s="1"/>
      <c r="B115" s="312"/>
      <c r="C115" s="29" t="s">
        <v>49</v>
      </c>
      <c r="D115" s="19"/>
      <c r="E115" s="19" t="s">
        <v>1265</v>
      </c>
      <c r="F115" s="5">
        <f>'Valores ESTEC'!G85</f>
        <v>3203.75</v>
      </c>
      <c r="G115" s="16">
        <f t="shared" si="3"/>
        <v>0</v>
      </c>
      <c r="H115" s="23"/>
    </row>
    <row r="116" spans="1:8" x14ac:dyDescent="0.3">
      <c r="A116" s="1"/>
      <c r="B116" s="312"/>
      <c r="C116" s="248" t="str">
        <f>'Valores ESTEC'!C398</f>
        <v>LG BANDEJA 105X50MM BLANCO X MTS 10422</v>
      </c>
      <c r="D116" s="257"/>
      <c r="E116" s="257" t="s">
        <v>16</v>
      </c>
      <c r="F116" s="245">
        <f>'Valores ESTEC'!G398</f>
        <v>36403.75</v>
      </c>
      <c r="G116" s="246">
        <f t="shared" si="3"/>
        <v>0</v>
      </c>
      <c r="H116" s="258"/>
    </row>
    <row r="117" spans="1:8" x14ac:dyDescent="0.3">
      <c r="A117" s="1"/>
      <c r="B117" s="312"/>
      <c r="C117" s="29" t="str">
        <f>'Valores ESTEC'!C399</f>
        <v>LG TAPA COMPLETA FLEXIBLE 85MM 105X50MM 10522 MTS</v>
      </c>
      <c r="D117" s="19"/>
      <c r="E117" s="19" t="s">
        <v>16</v>
      </c>
      <c r="F117" s="5">
        <f>'Valores ESTEC'!G399</f>
        <v>16260</v>
      </c>
      <c r="G117" s="16">
        <f t="shared" si="3"/>
        <v>0</v>
      </c>
      <c r="H117" s="23"/>
    </row>
    <row r="118" spans="1:8" x14ac:dyDescent="0.3">
      <c r="A118" s="1"/>
      <c r="B118" s="312"/>
      <c r="C118" s="248" t="str">
        <f>'Valores ESTEC'!C400</f>
        <v>LG ANGULO EXTERIOR 80X50 - 105X50 - 150X50MM 10622</v>
      </c>
      <c r="D118" s="257"/>
      <c r="E118" s="257" t="s">
        <v>8</v>
      </c>
      <c r="F118" s="245">
        <f>'Valores ESTEC'!G400</f>
        <v>20707.5</v>
      </c>
      <c r="G118" s="246">
        <f t="shared" si="3"/>
        <v>0</v>
      </c>
      <c r="H118" s="258"/>
    </row>
    <row r="119" spans="1:8" x14ac:dyDescent="0.3">
      <c r="A119" s="1"/>
      <c r="B119" s="312"/>
      <c r="C119" s="29" t="str">
        <f>'Valores ESTEC'!C401</f>
        <v>LG ANGULO INTERIOR 80X50 - 105X50 - 150X50MM 10602</v>
      </c>
      <c r="D119" s="19"/>
      <c r="E119" s="19" t="s">
        <v>8</v>
      </c>
      <c r="F119" s="5">
        <f>'Valores ESTEC'!G401</f>
        <v>15217.5</v>
      </c>
      <c r="G119" s="16">
        <f t="shared" si="3"/>
        <v>0</v>
      </c>
      <c r="H119" s="23"/>
    </row>
    <row r="120" spans="1:8" x14ac:dyDescent="0.3">
      <c r="A120" s="1"/>
      <c r="B120" s="312"/>
      <c r="C120" s="248" t="str">
        <f>'Valores ESTEC'!C402</f>
        <v>LG ANGULO PLANO 105X50MM 10785</v>
      </c>
      <c r="D120" s="257"/>
      <c r="E120" s="257" t="s">
        <v>8</v>
      </c>
      <c r="F120" s="245">
        <f>'Valores ESTEC'!G402</f>
        <v>24407.5</v>
      </c>
      <c r="G120" s="246">
        <f t="shared" si="3"/>
        <v>0</v>
      </c>
      <c r="H120" s="258"/>
    </row>
    <row r="121" spans="1:8" x14ac:dyDescent="0.3">
      <c r="A121" s="1"/>
      <c r="B121" s="312"/>
      <c r="C121" s="29" t="str">
        <f>'Valores ESTEC'!C403</f>
        <v>LG DERIVACION T 105X50MM 10736</v>
      </c>
      <c r="D121" s="19"/>
      <c r="E121" s="19" t="s">
        <v>8</v>
      </c>
      <c r="F121" s="5">
        <f>'Valores ESTEC'!G403</f>
        <v>30453.75</v>
      </c>
      <c r="G121" s="16">
        <f t="shared" si="3"/>
        <v>0</v>
      </c>
      <c r="H121" s="23"/>
    </row>
    <row r="122" spans="1:8" x14ac:dyDescent="0.3">
      <c r="A122" s="1"/>
      <c r="B122" s="312"/>
      <c r="C122" s="248" t="str">
        <f>'Valores ESTEC'!C404</f>
        <v>LG JUNTA BANDEJA UNIVERSAL 80X50 - 105X50 - 150X50MM 10691</v>
      </c>
      <c r="D122" s="257"/>
      <c r="E122" s="257" t="s">
        <v>8</v>
      </c>
      <c r="F122" s="245">
        <f>'Valores ESTEC'!G404</f>
        <v>1798.75</v>
      </c>
      <c r="G122" s="246">
        <f t="shared" si="3"/>
        <v>0</v>
      </c>
      <c r="H122" s="258"/>
    </row>
    <row r="123" spans="1:8" x14ac:dyDescent="0.3">
      <c r="A123" s="1"/>
      <c r="B123" s="312"/>
      <c r="C123" s="29" t="str">
        <f>'Valores ESTEC'!C405</f>
        <v>LG JUNTA TAPA COMPLETA 105X50MM 10802</v>
      </c>
      <c r="D123" s="19"/>
      <c r="E123" s="19" t="s">
        <v>8</v>
      </c>
      <c r="F123" s="5">
        <f>'Valores ESTEC'!G405</f>
        <v>3396.25</v>
      </c>
      <c r="G123" s="16">
        <f t="shared" si="3"/>
        <v>0</v>
      </c>
      <c r="H123" s="23"/>
    </row>
    <row r="124" spans="1:8" x14ac:dyDescent="0.3">
      <c r="A124" s="1"/>
      <c r="B124" s="312"/>
      <c r="C124" s="248" t="str">
        <f>'Valores ESTEC'!C406</f>
        <v>LG SOPORTE MOSAIC 2 MODULOS 85MM - 105X50 10992</v>
      </c>
      <c r="D124" s="257"/>
      <c r="E124" s="257" t="s">
        <v>8</v>
      </c>
      <c r="F124" s="245">
        <f>'Valores ESTEC'!G406</f>
        <v>3856.25</v>
      </c>
      <c r="G124" s="246">
        <f t="shared" si="3"/>
        <v>0</v>
      </c>
      <c r="H124" s="258"/>
    </row>
    <row r="125" spans="1:8" x14ac:dyDescent="0.3">
      <c r="A125" s="1"/>
      <c r="B125" s="312"/>
      <c r="C125" s="29" t="str">
        <f>'Valores ESTEC'!C407</f>
        <v>LG SOPORTE MOSAIC 3 MODULOS 85MM - 105X50 10993</v>
      </c>
      <c r="D125" s="19"/>
      <c r="E125" s="19" t="s">
        <v>8</v>
      </c>
      <c r="F125" s="5">
        <f>'Valores ESTEC'!G407</f>
        <v>5976.25</v>
      </c>
      <c r="G125" s="16">
        <f t="shared" si="3"/>
        <v>0</v>
      </c>
      <c r="H125" s="23"/>
    </row>
    <row r="126" spans="1:8" x14ac:dyDescent="0.3">
      <c r="A126" s="1"/>
      <c r="B126" s="312"/>
      <c r="C126" s="248" t="str">
        <f>'Valores ESTEC'!C408</f>
        <v>LG SOPORTE UNIVERSAL 3 MODULOS 85MM - 105X50 10916</v>
      </c>
      <c r="D126" s="257"/>
      <c r="E126" s="257" t="s">
        <v>8</v>
      </c>
      <c r="F126" s="245">
        <f>'Valores ESTEC'!G408</f>
        <v>9268.75</v>
      </c>
      <c r="G126" s="246">
        <f t="shared" si="3"/>
        <v>0</v>
      </c>
      <c r="H126" s="258"/>
    </row>
    <row r="127" spans="1:8" x14ac:dyDescent="0.3">
      <c r="A127" s="1"/>
      <c r="B127" s="312"/>
      <c r="C127" s="29" t="str">
        <f>'Valores ESTEC'!C409</f>
        <v>LG TABIQUE SEPARADOR 80X50 - 105X50 - 150X50MM 10582 MTS</v>
      </c>
      <c r="D127" s="19"/>
      <c r="E127" s="19" t="s">
        <v>16</v>
      </c>
      <c r="F127" s="5">
        <f>'Valores ESTEC'!G409</f>
        <v>20846.25</v>
      </c>
      <c r="G127" s="16">
        <f t="shared" si="3"/>
        <v>0</v>
      </c>
      <c r="H127" s="23"/>
    </row>
    <row r="128" spans="1:8" x14ac:dyDescent="0.3">
      <c r="A128" s="1"/>
      <c r="B128" s="312"/>
      <c r="C128" s="248" t="str">
        <f>'Valores ESTEC'!C410</f>
        <v>LG TAPA EXTREMO 105X50MM 10702</v>
      </c>
      <c r="D128" s="257"/>
      <c r="E128" s="257" t="s">
        <v>8</v>
      </c>
      <c r="F128" s="245">
        <f>'Valores ESTEC'!G410</f>
        <v>4603.75</v>
      </c>
      <c r="G128" s="246">
        <f t="shared" si="3"/>
        <v>0</v>
      </c>
      <c r="H128" s="258"/>
    </row>
    <row r="129" spans="1:8" x14ac:dyDescent="0.3">
      <c r="A129" s="1"/>
      <c r="B129" s="312"/>
      <c r="C129" s="29" t="str">
        <f>'Valores ESTEC'!C411</f>
        <v>ZL BANDEJA PISO 48X13MM TPP-4813-GR MTS</v>
      </c>
      <c r="D129" s="19"/>
      <c r="E129" s="19" t="s">
        <v>16</v>
      </c>
      <c r="F129" s="5">
        <f>'Valores ESTEC'!G411</f>
        <v>5583.75</v>
      </c>
      <c r="G129" s="16">
        <f t="shared" si="3"/>
        <v>0</v>
      </c>
      <c r="H129" s="23"/>
    </row>
    <row r="130" spans="1:8" x14ac:dyDescent="0.3">
      <c r="A130" s="1"/>
      <c r="B130" s="312"/>
      <c r="C130" s="248" t="str">
        <f>'Valores ESTEC'!C412</f>
        <v>BT TAPA CIEGA BLANCO (SIN TORNILLOS) 503ECH</v>
      </c>
      <c r="D130" s="257"/>
      <c r="E130" s="257" t="s">
        <v>8</v>
      </c>
      <c r="F130" s="245"/>
      <c r="G130" s="246">
        <f t="shared" si="3"/>
        <v>0</v>
      </c>
      <c r="H130" s="258"/>
    </row>
    <row r="131" spans="1:8" ht="15" thickBot="1" x14ac:dyDescent="0.35">
      <c r="A131" s="1"/>
      <c r="B131" s="312"/>
      <c r="C131" s="29" t="s">
        <v>50</v>
      </c>
      <c r="D131" s="19"/>
      <c r="E131" s="19" t="s">
        <v>8</v>
      </c>
      <c r="F131" s="5">
        <f>'Valores ESTEC'!G223</f>
        <v>780</v>
      </c>
      <c r="G131" s="16">
        <f t="shared" si="3"/>
        <v>0</v>
      </c>
      <c r="H131" s="23"/>
    </row>
    <row r="132" spans="1:8" x14ac:dyDescent="0.3">
      <c r="A132" s="1"/>
      <c r="B132" s="311" t="s">
        <v>51</v>
      </c>
      <c r="C132" s="342" t="str">
        <f>'Valores ESTEC'!C180</f>
        <v>TX GABINETE 2100X800 42U ARMABLE P/MICRO + KIT INST</v>
      </c>
      <c r="D132" s="18"/>
      <c r="E132" s="18" t="s">
        <v>8</v>
      </c>
      <c r="F132" s="27">
        <f>'Valores ESTEC'!G180</f>
        <v>559743.75</v>
      </c>
      <c r="G132" s="15">
        <f>F132*D132</f>
        <v>0</v>
      </c>
      <c r="H132" s="22"/>
    </row>
    <row r="133" spans="1:8" x14ac:dyDescent="0.3">
      <c r="A133" s="1"/>
      <c r="B133" s="312"/>
      <c r="C133" s="248" t="str">
        <f>'Valores ESTEC'!C181</f>
        <v>TX GABINETE 2100X800 42U ARMABLE P/VIDRIO + KIT INST</v>
      </c>
      <c r="D133" s="257"/>
      <c r="E133" s="260" t="s">
        <v>8</v>
      </c>
      <c r="F133" s="259">
        <f>'Valores ESTEC'!G181</f>
        <v>505137.5</v>
      </c>
      <c r="G133" s="246">
        <f t="shared" ref="G133:G150" si="4">F133*D133</f>
        <v>0</v>
      </c>
      <c r="H133" s="258"/>
    </row>
    <row r="134" spans="1:8" x14ac:dyDescent="0.3">
      <c r="A134" s="1"/>
      <c r="B134" s="312"/>
      <c r="C134" s="29" t="str">
        <f>'Valores ESTEC'!C178</f>
        <v>TX GABINETE 2100X1000 42U ARMABLE P/MICRO + KIT INST</v>
      </c>
      <c r="D134" s="19"/>
      <c r="E134" s="24" t="s">
        <v>8</v>
      </c>
      <c r="F134" s="33">
        <f>'Valores ESTEC'!G178</f>
        <v>668970</v>
      </c>
      <c r="G134" s="16">
        <f t="shared" si="4"/>
        <v>0</v>
      </c>
      <c r="H134" s="23"/>
    </row>
    <row r="135" spans="1:8" x14ac:dyDescent="0.3">
      <c r="A135" s="1"/>
      <c r="B135" s="312"/>
      <c r="C135" s="248" t="str">
        <f>'Valores ESTEC'!C179</f>
        <v>TX GABINETE 2100X600 42U ARMABLE P/VIDRIO + KIT INST</v>
      </c>
      <c r="D135" s="257"/>
      <c r="E135" s="260" t="s">
        <v>8</v>
      </c>
      <c r="F135" s="259">
        <f>'Valores ESTEC'!G179</f>
        <v>450530</v>
      </c>
      <c r="G135" s="246">
        <f t="shared" si="4"/>
        <v>0</v>
      </c>
      <c r="H135" s="258"/>
    </row>
    <row r="136" spans="1:8" x14ac:dyDescent="0.3">
      <c r="A136" s="1"/>
      <c r="B136" s="312"/>
      <c r="C136" s="29" t="str">
        <f>'Valores ESTEC'!C183</f>
        <v>TX GABINETE 2200X1200 45U ARMABLE P/MICRO + KIT INST</v>
      </c>
      <c r="D136" s="19"/>
      <c r="E136" s="24" t="s">
        <v>8</v>
      </c>
      <c r="F136" s="33">
        <f>'Valores ESTEC'!G183</f>
        <v>860105</v>
      </c>
      <c r="G136" s="16">
        <f t="shared" si="4"/>
        <v>0</v>
      </c>
      <c r="H136" s="23"/>
    </row>
    <row r="137" spans="1:8" x14ac:dyDescent="0.3">
      <c r="A137" s="1"/>
      <c r="B137" s="312"/>
      <c r="C137" s="248" t="str">
        <f>'Valores ESTEC'!C184</f>
        <v>TX GABINETE 2200X800X1200 45U ARM P/MICRO 4 ORD VERT</v>
      </c>
      <c r="D137" s="257"/>
      <c r="E137" s="260" t="s">
        <v>8</v>
      </c>
      <c r="F137" s="259">
        <f>'Valores ESTEC'!G184</f>
        <v>901060</v>
      </c>
      <c r="G137" s="246">
        <f t="shared" si="4"/>
        <v>0</v>
      </c>
      <c r="H137" s="258"/>
    </row>
    <row r="138" spans="1:8" x14ac:dyDescent="0.3">
      <c r="A138" s="1"/>
      <c r="B138" s="312"/>
      <c r="C138" s="29" t="str">
        <f>'Valores ESTEC'!C177</f>
        <v>TX GABINETE 1500X800 32U ARMABLE P/VIDRIO + KIT INST</v>
      </c>
      <c r="D138" s="19"/>
      <c r="E138" s="24" t="s">
        <v>8</v>
      </c>
      <c r="F138" s="33">
        <f>'Valores ESTEC'!G177</f>
        <v>341305</v>
      </c>
      <c r="G138" s="16">
        <f t="shared" si="4"/>
        <v>0</v>
      </c>
      <c r="H138" s="23"/>
    </row>
    <row r="139" spans="1:8" x14ac:dyDescent="0.3">
      <c r="A139" s="1"/>
      <c r="B139" s="312"/>
      <c r="C139" s="248" t="s">
        <v>186</v>
      </c>
      <c r="D139" s="257"/>
      <c r="E139" s="260" t="s">
        <v>8</v>
      </c>
      <c r="F139" s="259">
        <f>'Valores ESTEC'!G176</f>
        <v>143348.75</v>
      </c>
      <c r="G139" s="246">
        <f t="shared" si="4"/>
        <v>0</v>
      </c>
      <c r="H139" s="258"/>
    </row>
    <row r="140" spans="1:8" x14ac:dyDescent="0.3">
      <c r="A140" s="1"/>
      <c r="B140" s="312"/>
      <c r="C140" s="29" t="s">
        <v>52</v>
      </c>
      <c r="D140" s="19"/>
      <c r="E140" s="24" t="s">
        <v>8</v>
      </c>
      <c r="F140" s="33">
        <f>'Valores ESTEC'!G175</f>
        <v>129697.5</v>
      </c>
      <c r="G140" s="16">
        <f t="shared" si="4"/>
        <v>0</v>
      </c>
      <c r="H140" s="23"/>
    </row>
    <row r="141" spans="1:8" x14ac:dyDescent="0.3">
      <c r="A141" s="1"/>
      <c r="B141" s="312"/>
      <c r="C141" s="248" t="s">
        <v>53</v>
      </c>
      <c r="D141" s="257"/>
      <c r="E141" s="260" t="s">
        <v>8</v>
      </c>
      <c r="F141" s="259">
        <f>'Valores ESTEC'!G174</f>
        <v>118778.75</v>
      </c>
      <c r="G141" s="246">
        <f t="shared" si="4"/>
        <v>0</v>
      </c>
      <c r="H141" s="258"/>
    </row>
    <row r="142" spans="1:8" x14ac:dyDescent="0.3">
      <c r="A142" s="1"/>
      <c r="B142" s="312"/>
      <c r="C142" s="29" t="s">
        <v>54</v>
      </c>
      <c r="D142" s="19"/>
      <c r="E142" s="24" t="s">
        <v>8</v>
      </c>
      <c r="F142" s="33">
        <f>'Valores ESTEC'!G172</f>
        <v>99661.25</v>
      </c>
      <c r="G142" s="16">
        <f t="shared" si="4"/>
        <v>0</v>
      </c>
      <c r="H142" s="23"/>
    </row>
    <row r="143" spans="1:8" x14ac:dyDescent="0.3">
      <c r="A143" s="1"/>
      <c r="B143" s="312"/>
      <c r="C143" s="248" t="str">
        <f>'Valores ESTEC'!C170</f>
        <v>TX GABINETE MURAL ARMABLE 6UX450</v>
      </c>
      <c r="D143" s="257"/>
      <c r="E143" s="260" t="s">
        <v>8</v>
      </c>
      <c r="F143" s="259">
        <f>'Valores ESTEC'!G170</f>
        <v>75090</v>
      </c>
      <c r="G143" s="246">
        <f t="shared" si="4"/>
        <v>0</v>
      </c>
      <c r="H143" s="258"/>
    </row>
    <row r="144" spans="1:8" x14ac:dyDescent="0.3">
      <c r="A144" s="1"/>
      <c r="B144" s="312"/>
      <c r="C144" s="29" t="str">
        <f>'Valores ESTEC'!C185</f>
        <v>TX GABINETE EXTERIOR IP65 42UX600X800MM</v>
      </c>
      <c r="D144" s="19"/>
      <c r="E144" s="24" t="s">
        <v>8</v>
      </c>
      <c r="F144" s="33">
        <f>'Valores ESTEC'!G185</f>
        <v>1160455</v>
      </c>
      <c r="G144" s="16">
        <f t="shared" si="4"/>
        <v>0</v>
      </c>
      <c r="H144" s="23"/>
    </row>
    <row r="145" spans="1:11" x14ac:dyDescent="0.3">
      <c r="A145" s="1"/>
      <c r="B145" s="312"/>
      <c r="C145" s="248" t="str">
        <f>'Valores ESTEC'!C186</f>
        <v>TX GABINETE MURAL EXTERIOR IP65 12UX600X600MM</v>
      </c>
      <c r="D145" s="257"/>
      <c r="E145" s="260" t="s">
        <v>8</v>
      </c>
      <c r="F145" s="259">
        <f>'Valores ESTEC'!G186</f>
        <v>368620</v>
      </c>
      <c r="G145" s="246">
        <f t="shared" si="4"/>
        <v>0</v>
      </c>
      <c r="H145" s="258"/>
    </row>
    <row r="146" spans="1:11" x14ac:dyDescent="0.3">
      <c r="A146" s="1"/>
      <c r="B146" s="312"/>
      <c r="C146" s="29" t="str">
        <f>'Valores ESTEC'!C189</f>
        <v>TX ORDENADOR VERTICAL 42U</v>
      </c>
      <c r="D146" s="19"/>
      <c r="E146" s="24" t="s">
        <v>8</v>
      </c>
      <c r="F146" s="33">
        <f>'Valores ESTEC'!G189</f>
        <v>61438.75</v>
      </c>
      <c r="G146" s="16">
        <f t="shared" si="4"/>
        <v>0</v>
      </c>
      <c r="H146" s="23"/>
    </row>
    <row r="147" spans="1:11" x14ac:dyDescent="0.3">
      <c r="A147" s="1"/>
      <c r="B147" s="312"/>
      <c r="C147" s="248" t="str">
        <f>'Valores ESTEC'!C280</f>
        <v>TX BANDEJA VENTILADA GABINETE MURAL 300MM</v>
      </c>
      <c r="D147" s="257"/>
      <c r="E147" s="260" t="s">
        <v>8</v>
      </c>
      <c r="F147" s="259">
        <f>'Valores ESTEC'!G280</f>
        <v>10236.25</v>
      </c>
      <c r="G147" s="246">
        <f t="shared" si="4"/>
        <v>0</v>
      </c>
      <c r="H147" s="258"/>
    </row>
    <row r="148" spans="1:11" x14ac:dyDescent="0.3">
      <c r="A148" s="1"/>
      <c r="B148" s="312"/>
      <c r="C148" s="29" t="s">
        <v>352</v>
      </c>
      <c r="D148" s="19"/>
      <c r="E148" s="24" t="s">
        <v>8</v>
      </c>
      <c r="F148" s="33">
        <v>900</v>
      </c>
      <c r="G148" s="16">
        <f t="shared" si="4"/>
        <v>0</v>
      </c>
      <c r="H148" s="23"/>
    </row>
    <row r="149" spans="1:11" x14ac:dyDescent="0.3">
      <c r="A149" s="1"/>
      <c r="B149" s="312"/>
      <c r="C149" s="248" t="s">
        <v>157</v>
      </c>
      <c r="D149" s="257"/>
      <c r="E149" s="260" t="s">
        <v>8</v>
      </c>
      <c r="F149" s="259">
        <v>4500</v>
      </c>
      <c r="G149" s="246">
        <f t="shared" si="4"/>
        <v>0</v>
      </c>
      <c r="H149" s="258"/>
    </row>
    <row r="150" spans="1:11" ht="15" thickBot="1" x14ac:dyDescent="0.35">
      <c r="A150" s="1"/>
      <c r="B150" s="313"/>
      <c r="C150" s="343" t="str">
        <f>'Valores ESTEC'!C413</f>
        <v>TX KIT TURBINA + CABLE ENCHUFE ITALIANO GABINETE MURAL</v>
      </c>
      <c r="D150" s="14"/>
      <c r="E150" s="25" t="s">
        <v>8</v>
      </c>
      <c r="F150" s="34">
        <f>'Valores ESTEC'!G413</f>
        <v>9552.5</v>
      </c>
      <c r="G150" s="16">
        <f t="shared" si="4"/>
        <v>0</v>
      </c>
      <c r="H150" s="23"/>
    </row>
    <row r="151" spans="1:11" x14ac:dyDescent="0.3">
      <c r="A151" s="1"/>
      <c r="B151" s="311" t="s">
        <v>55</v>
      </c>
      <c r="C151" s="341" t="s">
        <v>142</v>
      </c>
      <c r="D151" s="240"/>
      <c r="E151" s="240" t="s">
        <v>8</v>
      </c>
      <c r="F151" s="241">
        <v>6378</v>
      </c>
      <c r="G151" s="242">
        <f>F151*D151</f>
        <v>0</v>
      </c>
      <c r="H151" s="243"/>
    </row>
    <row r="152" spans="1:11" x14ac:dyDescent="0.3">
      <c r="A152" s="1"/>
      <c r="B152" s="312"/>
      <c r="C152" s="29" t="s">
        <v>147</v>
      </c>
      <c r="D152" s="13"/>
      <c r="E152" s="13" t="s">
        <v>148</v>
      </c>
      <c r="F152" s="5">
        <v>1200</v>
      </c>
      <c r="G152" s="16">
        <f t="shared" ref="G152:G190" si="5">F152*D152</f>
        <v>0</v>
      </c>
      <c r="H152" s="6"/>
      <c r="K152" t="s">
        <v>1288</v>
      </c>
    </row>
    <row r="153" spans="1:11" x14ac:dyDescent="0.3">
      <c r="A153" s="1"/>
      <c r="B153" s="312"/>
      <c r="C153" s="248" t="s">
        <v>143</v>
      </c>
      <c r="D153" s="244"/>
      <c r="E153" s="244" t="s">
        <v>8</v>
      </c>
      <c r="F153" s="245">
        <v>1933</v>
      </c>
      <c r="G153" s="246">
        <f t="shared" si="5"/>
        <v>0</v>
      </c>
      <c r="H153" s="247"/>
      <c r="K153">
        <v>10</v>
      </c>
    </row>
    <row r="154" spans="1:11" x14ac:dyDescent="0.3">
      <c r="A154" s="1"/>
      <c r="B154" s="312"/>
      <c r="C154" s="29" t="s">
        <v>184</v>
      </c>
      <c r="D154" s="13"/>
      <c r="E154" s="13" t="s">
        <v>8</v>
      </c>
      <c r="F154" s="5">
        <f>'Valores ESTEC'!G331</f>
        <v>2002.5</v>
      </c>
      <c r="G154" s="16">
        <f t="shared" si="5"/>
        <v>0</v>
      </c>
      <c r="H154" s="6"/>
    </row>
    <row r="155" spans="1:11" x14ac:dyDescent="0.3">
      <c r="A155" s="1"/>
      <c r="B155" s="312"/>
      <c r="C155" s="248" t="s">
        <v>185</v>
      </c>
      <c r="D155" s="244"/>
      <c r="E155" s="244" t="s">
        <v>8</v>
      </c>
      <c r="F155" s="245">
        <f>'Valores ESTEC'!G48</f>
        <v>5488.75</v>
      </c>
      <c r="G155" s="246">
        <f t="shared" si="5"/>
        <v>0</v>
      </c>
      <c r="H155" s="247"/>
    </row>
    <row r="156" spans="1:11" x14ac:dyDescent="0.3">
      <c r="A156" s="1"/>
      <c r="B156" s="312"/>
      <c r="C156" s="29" t="s">
        <v>159</v>
      </c>
      <c r="D156" s="13"/>
      <c r="E156" s="13" t="s">
        <v>8</v>
      </c>
      <c r="F156" s="5">
        <f>F154</f>
        <v>2002.5</v>
      </c>
      <c r="G156" s="16">
        <f t="shared" si="5"/>
        <v>0</v>
      </c>
      <c r="H156" s="6"/>
    </row>
    <row r="157" spans="1:11" x14ac:dyDescent="0.3">
      <c r="A157" s="1"/>
      <c r="B157" s="312"/>
      <c r="C157" s="248" t="s">
        <v>161</v>
      </c>
      <c r="D157" s="244"/>
      <c r="E157" s="244" t="s">
        <v>8</v>
      </c>
      <c r="F157" s="245">
        <f>'Valores ESTEC'!G48</f>
        <v>5488.75</v>
      </c>
      <c r="G157" s="246">
        <f t="shared" si="5"/>
        <v>0</v>
      </c>
      <c r="H157" s="247"/>
    </row>
    <row r="158" spans="1:11" x14ac:dyDescent="0.3">
      <c r="A158" s="1"/>
      <c r="B158" s="312"/>
      <c r="C158" s="29" t="s">
        <v>160</v>
      </c>
      <c r="D158" s="13"/>
      <c r="E158" s="13" t="s">
        <v>8</v>
      </c>
      <c r="F158" s="5">
        <f>'Valores ESTEC'!G103</f>
        <v>1755</v>
      </c>
      <c r="G158" s="16">
        <f t="shared" si="5"/>
        <v>0</v>
      </c>
      <c r="H158" s="6"/>
    </row>
    <row r="159" spans="1:11" x14ac:dyDescent="0.3">
      <c r="A159" s="1"/>
      <c r="B159" s="312"/>
      <c r="C159" s="248" t="str">
        <f>'Valores ESTEC'!C63</f>
        <v>LV CORD CAT 6 UTP 0.6 MTS BLANCO LSZH HIGH FLEX 6H460-02W</v>
      </c>
      <c r="D159" s="244"/>
      <c r="E159" s="244" t="s">
        <v>8</v>
      </c>
      <c r="F159" s="245">
        <f>'Valores ESTEC'!G63</f>
        <v>4876.25</v>
      </c>
      <c r="G159" s="246">
        <f t="shared" si="5"/>
        <v>0</v>
      </c>
      <c r="H159" s="247"/>
    </row>
    <row r="160" spans="1:11" x14ac:dyDescent="0.3">
      <c r="A160" s="1"/>
      <c r="B160" s="312"/>
      <c r="C160" s="29" t="s">
        <v>162</v>
      </c>
      <c r="D160" s="13"/>
      <c r="E160" s="13" t="s">
        <v>8</v>
      </c>
      <c r="F160" s="5">
        <v>1358</v>
      </c>
      <c r="G160" s="16">
        <f t="shared" si="5"/>
        <v>0</v>
      </c>
      <c r="H160" s="6"/>
    </row>
    <row r="161" spans="1:8" x14ac:dyDescent="0.3">
      <c r="A161" s="1"/>
      <c r="B161" s="312"/>
      <c r="C161" s="248" t="s">
        <v>1267</v>
      </c>
      <c r="D161" s="244"/>
      <c r="E161" s="244" t="s">
        <v>8</v>
      </c>
      <c r="F161" s="245">
        <f>'Valores ESTEC'!G416</f>
        <v>5595</v>
      </c>
      <c r="G161" s="246">
        <f t="shared" si="5"/>
        <v>0</v>
      </c>
      <c r="H161" s="247"/>
    </row>
    <row r="162" spans="1:8" x14ac:dyDescent="0.3">
      <c r="A162" s="1"/>
      <c r="B162" s="312"/>
      <c r="C162" s="29" t="s">
        <v>163</v>
      </c>
      <c r="D162" s="13"/>
      <c r="E162" s="13" t="s">
        <v>8</v>
      </c>
      <c r="F162" s="5">
        <f>'Valores ESTEC'!G104</f>
        <v>2850</v>
      </c>
      <c r="G162" s="16">
        <f t="shared" si="5"/>
        <v>0</v>
      </c>
      <c r="H162" s="6"/>
    </row>
    <row r="163" spans="1:8" x14ac:dyDescent="0.3">
      <c r="A163" s="1"/>
      <c r="B163" s="312"/>
      <c r="C163" s="248" t="s">
        <v>1268</v>
      </c>
      <c r="D163" s="244"/>
      <c r="E163" s="244" t="s">
        <v>8</v>
      </c>
      <c r="F163" s="245">
        <f>'Valores ESTEC'!G417</f>
        <v>7503.75</v>
      </c>
      <c r="G163" s="246">
        <f t="shared" si="5"/>
        <v>0</v>
      </c>
      <c r="H163" s="247"/>
    </row>
    <row r="164" spans="1:8" x14ac:dyDescent="0.3">
      <c r="A164" s="1"/>
      <c r="B164" s="312"/>
      <c r="C164" s="29" t="s">
        <v>1269</v>
      </c>
      <c r="D164" s="13"/>
      <c r="E164" s="13" t="s">
        <v>8</v>
      </c>
      <c r="F164" s="5">
        <f>'Valores ESTEC'!G418</f>
        <v>11543.75</v>
      </c>
      <c r="G164" s="16">
        <f t="shared" si="5"/>
        <v>0</v>
      </c>
      <c r="H164" s="6"/>
    </row>
    <row r="165" spans="1:8" x14ac:dyDescent="0.3">
      <c r="A165" s="1"/>
      <c r="B165" s="312"/>
      <c r="C165" s="248" t="str">
        <f>'Valores ESTEC'!C57</f>
        <v>LV CORD CAT 6A U/FTP 2.1 MTS BLANCO LSZH HIGH FLEX H6A10-07W</v>
      </c>
      <c r="D165" s="244"/>
      <c r="E165" s="244" t="s">
        <v>8</v>
      </c>
      <c r="F165" s="245">
        <f>'Valores ESTEC'!G57</f>
        <v>11802.5</v>
      </c>
      <c r="G165" s="246">
        <f t="shared" si="5"/>
        <v>0</v>
      </c>
      <c r="H165" s="247"/>
    </row>
    <row r="166" spans="1:8" x14ac:dyDescent="0.3">
      <c r="A166" s="1"/>
      <c r="B166" s="312"/>
      <c r="C166" s="29" t="s">
        <v>158</v>
      </c>
      <c r="D166" s="13"/>
      <c r="E166" s="13" t="s">
        <v>8</v>
      </c>
      <c r="F166" s="5">
        <f>'Valores ESTEC'!G101</f>
        <v>22038.75</v>
      </c>
      <c r="G166" s="16">
        <f t="shared" si="5"/>
        <v>0</v>
      </c>
      <c r="H166" s="6"/>
    </row>
    <row r="167" spans="1:8" x14ac:dyDescent="0.3">
      <c r="A167" s="1"/>
      <c r="B167" s="312"/>
      <c r="C167" s="248" t="s">
        <v>164</v>
      </c>
      <c r="D167" s="244"/>
      <c r="E167" s="244" t="s">
        <v>8</v>
      </c>
      <c r="F167" s="245">
        <f>'Valores ESTEC'!G49</f>
        <v>33970</v>
      </c>
      <c r="G167" s="246">
        <f t="shared" si="5"/>
        <v>0</v>
      </c>
      <c r="H167" s="247"/>
    </row>
    <row r="168" spans="1:8" x14ac:dyDescent="0.3">
      <c r="A168" s="1"/>
      <c r="B168" s="312"/>
      <c r="C168" s="29" t="s">
        <v>56</v>
      </c>
      <c r="D168" s="13"/>
      <c r="E168" s="13" t="s">
        <v>8</v>
      </c>
      <c r="F168" s="5">
        <f>'Valores ESTEC'!G419</f>
        <v>2297.5</v>
      </c>
      <c r="G168" s="16">
        <f t="shared" si="5"/>
        <v>0</v>
      </c>
      <c r="H168" s="6"/>
    </row>
    <row r="169" spans="1:8" x14ac:dyDescent="0.3">
      <c r="A169" s="1"/>
      <c r="B169" s="312"/>
      <c r="C169" s="248" t="str">
        <f>'Valores ESTEC'!C187</f>
        <v>TX ORDENADOR 19X1U HORIZONTAL TAPA</v>
      </c>
      <c r="D169" s="244"/>
      <c r="E169" s="244" t="s">
        <v>8</v>
      </c>
      <c r="F169" s="245">
        <f>'Valores ESTEC'!G187</f>
        <v>5795</v>
      </c>
      <c r="G169" s="246">
        <f t="shared" si="5"/>
        <v>0</v>
      </c>
      <c r="H169" s="247"/>
    </row>
    <row r="170" spans="1:8" x14ac:dyDescent="0.3">
      <c r="A170" s="1"/>
      <c r="B170" s="312"/>
      <c r="C170" s="29" t="str">
        <f>'Valores ESTEC'!C188</f>
        <v>TX ORDENADOR 19X2U HORIZONTAL TAPA</v>
      </c>
      <c r="D170" s="13"/>
      <c r="E170" s="13" t="s">
        <v>8</v>
      </c>
      <c r="F170" s="5">
        <f>'Valores ESTEC'!G188</f>
        <v>9552.5</v>
      </c>
      <c r="G170" s="16">
        <f t="shared" si="5"/>
        <v>0</v>
      </c>
      <c r="H170" s="6"/>
    </row>
    <row r="171" spans="1:8" x14ac:dyDescent="0.3">
      <c r="A171" s="1"/>
      <c r="B171" s="312"/>
      <c r="C171" s="248" t="s">
        <v>1084</v>
      </c>
      <c r="D171" s="13"/>
      <c r="E171" s="244" t="s">
        <v>8</v>
      </c>
      <c r="F171" s="245">
        <f>'Valores ESTEC'!G102</f>
        <v>953.75</v>
      </c>
      <c r="G171" s="246">
        <f t="shared" si="5"/>
        <v>0</v>
      </c>
      <c r="H171" s="247"/>
    </row>
    <row r="172" spans="1:8" x14ac:dyDescent="0.3">
      <c r="A172" s="1"/>
      <c r="B172" s="312"/>
      <c r="C172" s="29" t="s">
        <v>1083</v>
      </c>
      <c r="D172" s="13"/>
      <c r="E172" s="13" t="s">
        <v>8</v>
      </c>
      <c r="F172" s="5">
        <f>'Valores ESTEC'!G47</f>
        <v>2002.5</v>
      </c>
      <c r="G172" s="16">
        <f t="shared" si="5"/>
        <v>0</v>
      </c>
      <c r="H172" s="6"/>
    </row>
    <row r="173" spans="1:8" x14ac:dyDescent="0.3">
      <c r="A173" s="1"/>
      <c r="B173" s="312"/>
      <c r="C173" s="248" t="str">
        <f>'Valores ESTEC'!C420</f>
        <v>TX CAJA INDUSTRIAL IP 67 DOBLE</v>
      </c>
      <c r="D173" s="244"/>
      <c r="E173" s="244" t="s">
        <v>8</v>
      </c>
      <c r="F173" s="245">
        <f>'Valores ESTEC'!G420</f>
        <v>4876.25</v>
      </c>
      <c r="G173" s="246">
        <f t="shared" si="5"/>
        <v>0</v>
      </c>
      <c r="H173" s="247"/>
    </row>
    <row r="174" spans="1:8" x14ac:dyDescent="0.3">
      <c r="A174" s="1"/>
      <c r="B174" s="312"/>
      <c r="C174" s="29" t="str">
        <f>'Valores ESTEC'!C421</f>
        <v>TX CAPUCHON INDUSTRIAL</v>
      </c>
      <c r="D174" s="13"/>
      <c r="E174" s="13" t="s">
        <v>8</v>
      </c>
      <c r="F174" s="5">
        <f>'Valores ESTEC'!G421</f>
        <v>5936.25</v>
      </c>
      <c r="G174" s="16">
        <f t="shared" si="5"/>
        <v>0</v>
      </c>
      <c r="H174" s="6"/>
    </row>
    <row r="175" spans="1:8" x14ac:dyDescent="0.3">
      <c r="A175" s="1"/>
      <c r="B175" s="312"/>
      <c r="C175" s="248" t="str">
        <f>'Valores ESTEC'!C422</f>
        <v>TX CORD CAT 6 UTP 2 MTS INDUSTRIAL</v>
      </c>
      <c r="D175" s="244"/>
      <c r="E175" s="244" t="s">
        <v>8</v>
      </c>
      <c r="F175" s="245">
        <f>'Valores ESTEC'!G422</f>
        <v>10825</v>
      </c>
      <c r="G175" s="246">
        <f t="shared" si="5"/>
        <v>0</v>
      </c>
      <c r="H175" s="247"/>
    </row>
    <row r="176" spans="1:8" x14ac:dyDescent="0.3">
      <c r="A176" s="1"/>
      <c r="B176" s="312"/>
      <c r="C176" s="29" t="str">
        <f>'Valores ESTEC'!C423</f>
        <v>TX FACE PLATE DOBLE INDUSTRIAL</v>
      </c>
      <c r="D176" s="13"/>
      <c r="E176" s="13" t="s">
        <v>8</v>
      </c>
      <c r="F176" s="5">
        <f>'Valores ESTEC'!G423</f>
        <v>3357.5</v>
      </c>
      <c r="G176" s="16">
        <f t="shared" si="5"/>
        <v>0</v>
      </c>
      <c r="H176" s="6"/>
    </row>
    <row r="177" spans="1:8" x14ac:dyDescent="0.3">
      <c r="A177" s="1"/>
      <c r="B177" s="312"/>
      <c r="C177" s="248" t="str">
        <f>'Valores ESTEC'!C424</f>
        <v>TX FACE PLATE SIMPLE INDUSTRIAL</v>
      </c>
      <c r="D177" s="244"/>
      <c r="E177" s="244" t="s">
        <v>8</v>
      </c>
      <c r="F177" s="245">
        <f>'Valores ESTEC'!G424</f>
        <v>3251.25</v>
      </c>
      <c r="G177" s="246">
        <f t="shared" si="5"/>
        <v>0</v>
      </c>
      <c r="H177" s="247"/>
    </row>
    <row r="178" spans="1:8" x14ac:dyDescent="0.3">
      <c r="A178" s="1"/>
      <c r="B178" s="312"/>
      <c r="C178" s="29" t="str">
        <f>'Valores ESTEC'!C425</f>
        <v>TX MODULO RJ45 CAT 6 INDUSTRIAL</v>
      </c>
      <c r="D178" s="13"/>
      <c r="E178" s="13" t="s">
        <v>8</v>
      </c>
      <c r="F178" s="5">
        <f>'Valores ESTEC'!G425</f>
        <v>13403.75</v>
      </c>
      <c r="G178" s="16">
        <f t="shared" si="5"/>
        <v>0</v>
      </c>
      <c r="H178" s="6"/>
    </row>
    <row r="179" spans="1:8" x14ac:dyDescent="0.3">
      <c r="A179" s="1"/>
      <c r="B179" s="312"/>
      <c r="C179" s="248" t="str">
        <f>'Valores ESTEC'!C426</f>
        <v>TX ADAPTADOR KEYSTONE MOSAIC 1P BLANCO</v>
      </c>
      <c r="D179" s="244"/>
      <c r="E179" s="244" t="s">
        <v>8</v>
      </c>
      <c r="F179" s="245">
        <f>'Valores ESTEC'!G426</f>
        <v>836.25</v>
      </c>
      <c r="G179" s="246">
        <f t="shared" si="5"/>
        <v>0</v>
      </c>
      <c r="H179" s="247"/>
    </row>
    <row r="180" spans="1:8" x14ac:dyDescent="0.3">
      <c r="A180" s="1"/>
      <c r="B180" s="312"/>
      <c r="C180" s="29" t="s">
        <v>59</v>
      </c>
      <c r="D180" s="13"/>
      <c r="E180" s="13" t="s">
        <v>8</v>
      </c>
      <c r="F180" s="5">
        <v>68096</v>
      </c>
      <c r="G180" s="16">
        <f t="shared" si="5"/>
        <v>0</v>
      </c>
      <c r="H180" s="6"/>
    </row>
    <row r="181" spans="1:8" x14ac:dyDescent="0.3">
      <c r="A181" s="1"/>
      <c r="B181" s="312"/>
      <c r="C181" s="248" t="s">
        <v>1086</v>
      </c>
      <c r="D181" s="244"/>
      <c r="E181" s="244" t="s">
        <v>60</v>
      </c>
      <c r="F181" s="245">
        <f>'Valores ESTEC'!G328</f>
        <v>143761.25</v>
      </c>
      <c r="G181" s="246">
        <f t="shared" si="5"/>
        <v>0</v>
      </c>
      <c r="H181" s="247"/>
    </row>
    <row r="182" spans="1:8" x14ac:dyDescent="0.3">
      <c r="A182" s="1"/>
      <c r="B182" s="312"/>
      <c r="C182" s="29" t="s">
        <v>1087</v>
      </c>
      <c r="D182" s="13"/>
      <c r="E182" s="13" t="s">
        <v>60</v>
      </c>
      <c r="F182" s="5">
        <f>'Valores ESTEC'!G327</f>
        <v>202372.5</v>
      </c>
      <c r="G182" s="16">
        <f t="shared" si="5"/>
        <v>0</v>
      </c>
      <c r="H182" s="6"/>
    </row>
    <row r="183" spans="1:8" x14ac:dyDescent="0.3">
      <c r="A183" s="1"/>
      <c r="B183" s="312"/>
      <c r="C183" s="248" t="s">
        <v>166</v>
      </c>
      <c r="D183" s="13"/>
      <c r="E183" s="244" t="s">
        <v>60</v>
      </c>
      <c r="F183" s="245">
        <f>'Valores ESTEC'!G326</f>
        <v>156365</v>
      </c>
      <c r="G183" s="246">
        <f t="shared" si="5"/>
        <v>0</v>
      </c>
      <c r="H183" s="247"/>
    </row>
    <row r="184" spans="1:8" x14ac:dyDescent="0.3">
      <c r="A184" s="1"/>
      <c r="B184" s="312"/>
      <c r="C184" s="29" t="s">
        <v>1085</v>
      </c>
      <c r="D184" s="13"/>
      <c r="E184" s="13" t="s">
        <v>60</v>
      </c>
      <c r="F184" s="5">
        <f>'Valores ESTEC'!G329</f>
        <v>202878.75</v>
      </c>
      <c r="G184" s="16">
        <f t="shared" si="5"/>
        <v>0</v>
      </c>
      <c r="H184" s="6"/>
    </row>
    <row r="185" spans="1:8" x14ac:dyDescent="0.3">
      <c r="A185" s="1"/>
      <c r="B185" s="312"/>
      <c r="C185" s="248" t="s">
        <v>1088</v>
      </c>
      <c r="D185" s="244"/>
      <c r="E185" s="244" t="s">
        <v>60</v>
      </c>
      <c r="F185" s="245">
        <f>'Valores ESTEC'!G330</f>
        <v>164903.75</v>
      </c>
      <c r="G185" s="246">
        <f t="shared" si="5"/>
        <v>0</v>
      </c>
      <c r="H185" s="247"/>
    </row>
    <row r="186" spans="1:8" x14ac:dyDescent="0.3">
      <c r="A186" s="1"/>
      <c r="B186" s="312"/>
      <c r="C186" s="29" t="str">
        <f>'Valores ESTEC'!C426</f>
        <v>TX ADAPTADOR KEYSTONE MOSAIC 1P BLANCO</v>
      </c>
      <c r="D186" s="13"/>
      <c r="E186" s="13" t="s">
        <v>8</v>
      </c>
      <c r="F186" s="5">
        <f>'Valores ESTEC'!G426</f>
        <v>836.25</v>
      </c>
      <c r="G186" s="16">
        <f t="shared" si="5"/>
        <v>0</v>
      </c>
      <c r="H186" s="6"/>
    </row>
    <row r="187" spans="1:8" x14ac:dyDescent="0.3">
      <c r="A187" s="1"/>
      <c r="B187" s="312"/>
      <c r="C187" s="248" t="str">
        <f>'Valores ESTEC'!C427</f>
        <v>LG FALSO POLO MOSAIC 1 MODULO 77070</v>
      </c>
      <c r="D187" s="244"/>
      <c r="E187" s="244" t="s">
        <v>8</v>
      </c>
      <c r="F187" s="245">
        <f>'Valores ESTEC'!G427</f>
        <v>3696.25</v>
      </c>
      <c r="G187" s="246">
        <f t="shared" si="5"/>
        <v>0</v>
      </c>
      <c r="H187" s="247"/>
    </row>
    <row r="188" spans="1:8" x14ac:dyDescent="0.3">
      <c r="A188" s="1"/>
      <c r="B188" s="312"/>
      <c r="C188" s="29" t="s">
        <v>63</v>
      </c>
      <c r="D188" s="13"/>
      <c r="E188" s="13" t="s">
        <v>8</v>
      </c>
      <c r="F188" s="5">
        <v>6500</v>
      </c>
      <c r="G188" s="16">
        <f t="shared" si="5"/>
        <v>0</v>
      </c>
      <c r="H188" s="6"/>
    </row>
    <row r="189" spans="1:8" x14ac:dyDescent="0.3">
      <c r="A189" s="1"/>
      <c r="B189" s="312"/>
      <c r="C189" s="248" t="s">
        <v>64</v>
      </c>
      <c r="D189" s="244"/>
      <c r="E189" s="244" t="s">
        <v>8</v>
      </c>
      <c r="F189" s="245">
        <v>5700</v>
      </c>
      <c r="G189" s="246">
        <f t="shared" si="5"/>
        <v>0</v>
      </c>
      <c r="H189" s="247"/>
    </row>
    <row r="190" spans="1:8" ht="15" thickBot="1" x14ac:dyDescent="0.35">
      <c r="A190" s="1"/>
      <c r="B190" s="313"/>
      <c r="C190" s="29" t="s">
        <v>65</v>
      </c>
      <c r="D190" s="13"/>
      <c r="E190" s="13" t="s">
        <v>8</v>
      </c>
      <c r="F190" s="34">
        <v>15000</v>
      </c>
      <c r="G190" s="16">
        <f t="shared" si="5"/>
        <v>0</v>
      </c>
      <c r="H190" s="6"/>
    </row>
    <row r="191" spans="1:8" x14ac:dyDescent="0.3">
      <c r="A191" s="1"/>
      <c r="B191" s="311" t="s">
        <v>66</v>
      </c>
      <c r="C191" s="342" t="s">
        <v>67</v>
      </c>
      <c r="D191" s="12"/>
      <c r="E191" s="12" t="s">
        <v>8</v>
      </c>
      <c r="F191" s="276">
        <f>'Valores ESTEC'!G115</f>
        <v>40051.25</v>
      </c>
      <c r="G191" s="15">
        <f>F191*D191</f>
        <v>0</v>
      </c>
      <c r="H191" s="3"/>
    </row>
    <row r="192" spans="1:8" x14ac:dyDescent="0.3">
      <c r="A192" s="1"/>
      <c r="B192" s="312"/>
      <c r="C192" s="248" t="s">
        <v>68</v>
      </c>
      <c r="D192" s="244"/>
      <c r="E192" s="244" t="s">
        <v>8</v>
      </c>
      <c r="F192" s="245">
        <f>'Valores ESTEC'!G116</f>
        <v>40051.25</v>
      </c>
      <c r="G192" s="246">
        <f>F192*D192</f>
        <v>0</v>
      </c>
      <c r="H192" s="247"/>
    </row>
    <row r="193" spans="1:8" x14ac:dyDescent="0.3">
      <c r="A193" s="1"/>
      <c r="B193" s="312"/>
      <c r="C193" s="29" t="s">
        <v>69</v>
      </c>
      <c r="D193" s="13"/>
      <c r="E193" s="13" t="s">
        <v>8</v>
      </c>
      <c r="F193" s="5">
        <f>'Valores ESTEC'!G117</f>
        <v>40051.25</v>
      </c>
      <c r="G193" s="16">
        <f t="shared" ref="G193:G198" si="6">F193*D193</f>
        <v>0</v>
      </c>
      <c r="H193" s="6"/>
    </row>
    <row r="194" spans="1:8" x14ac:dyDescent="0.3">
      <c r="A194" s="1"/>
      <c r="B194" s="312"/>
      <c r="C194" s="248" t="s">
        <v>132</v>
      </c>
      <c r="D194" s="244"/>
      <c r="E194" s="244" t="s">
        <v>13</v>
      </c>
      <c r="F194" s="245">
        <f>'Valores ESTEC'!G118</f>
        <v>1171.25</v>
      </c>
      <c r="G194" s="246">
        <f t="shared" si="6"/>
        <v>0</v>
      </c>
      <c r="H194" s="247"/>
    </row>
    <row r="195" spans="1:8" x14ac:dyDescent="0.3">
      <c r="A195" s="1"/>
      <c r="B195" s="312"/>
      <c r="C195" s="29" t="str">
        <f>'Valores ESTEC'!C119</f>
        <v>CORDON LIBRE HALOGENO RZ1-K 3X2.5MM NEGRO</v>
      </c>
      <c r="D195" s="13"/>
      <c r="E195" s="13" t="s">
        <v>13</v>
      </c>
      <c r="F195" s="5">
        <f>'Valores ESTEC'!G119</f>
        <v>2293.75</v>
      </c>
      <c r="G195" s="16">
        <f t="shared" si="6"/>
        <v>0</v>
      </c>
      <c r="H195" s="6"/>
    </row>
    <row r="196" spans="1:8" x14ac:dyDescent="0.3">
      <c r="A196" s="1"/>
      <c r="B196" s="312"/>
      <c r="C196" s="248" t="s">
        <v>187</v>
      </c>
      <c r="D196" s="244"/>
      <c r="E196" s="244" t="s">
        <v>8</v>
      </c>
      <c r="F196" s="245">
        <f>'Valores ESTEC'!G217</f>
        <v>2473.75</v>
      </c>
      <c r="G196" s="246">
        <f t="shared" si="6"/>
        <v>0</v>
      </c>
      <c r="H196" s="247"/>
    </row>
    <row r="197" spans="1:8" x14ac:dyDescent="0.3">
      <c r="A197" s="1"/>
      <c r="B197" s="312"/>
      <c r="C197" s="29" t="s">
        <v>70</v>
      </c>
      <c r="D197" s="13"/>
      <c r="E197" s="13" t="s">
        <v>8</v>
      </c>
      <c r="F197" s="5">
        <f>'Valores ESTEC'!G113</f>
        <v>23158.75</v>
      </c>
      <c r="G197" s="16">
        <f t="shared" si="6"/>
        <v>0</v>
      </c>
      <c r="H197" s="6"/>
    </row>
    <row r="198" spans="1:8" x14ac:dyDescent="0.3">
      <c r="A198" s="1"/>
      <c r="B198" s="312"/>
      <c r="C198" s="248" t="s">
        <v>134</v>
      </c>
      <c r="D198" s="244"/>
      <c r="E198" s="244" t="s">
        <v>8</v>
      </c>
      <c r="F198" s="245">
        <f>'Valores ESTEC'!G194</f>
        <v>3056.25</v>
      </c>
      <c r="G198" s="246">
        <f t="shared" si="6"/>
        <v>0</v>
      </c>
      <c r="H198" s="247"/>
    </row>
    <row r="199" spans="1:8" x14ac:dyDescent="0.3">
      <c r="A199" s="1"/>
      <c r="B199" s="312"/>
      <c r="C199" s="29" t="str">
        <f>'Valores ESTEC'!C195</f>
        <v>BT MODULO MATIX 10A SEGURIDAD HEMBRA BLANCO AM5100</v>
      </c>
      <c r="D199" s="13"/>
      <c r="E199" s="13" t="s">
        <v>8</v>
      </c>
      <c r="F199" s="5">
        <f>'Valores ESTEC'!G195</f>
        <v>16323.75</v>
      </c>
      <c r="G199" s="16">
        <f t="shared" ref="G199:G248" si="7">F199*D199</f>
        <v>0</v>
      </c>
      <c r="H199" s="6"/>
    </row>
    <row r="200" spans="1:8" x14ac:dyDescent="0.3">
      <c r="A200" s="1"/>
      <c r="B200" s="312"/>
      <c r="C200" s="248" t="s">
        <v>71</v>
      </c>
      <c r="D200" s="244"/>
      <c r="E200" s="244" t="s">
        <v>8</v>
      </c>
      <c r="F200" s="245">
        <v>30000</v>
      </c>
      <c r="G200" s="246">
        <f t="shared" si="7"/>
        <v>0</v>
      </c>
      <c r="H200" s="247"/>
    </row>
    <row r="201" spans="1:8" x14ac:dyDescent="0.3">
      <c r="A201" s="1"/>
      <c r="B201" s="312"/>
      <c r="C201" s="29" t="str">
        <f>'Valores ESTEC'!C313</f>
        <v>LX TABLERO METAL 1 PUERTA 300X200X150 IP65</v>
      </c>
      <c r="D201" s="13"/>
      <c r="E201" s="13" t="s">
        <v>8</v>
      </c>
      <c r="F201" s="5">
        <f>'Valores ESTEC'!G313</f>
        <v>19766.25</v>
      </c>
      <c r="G201" s="16">
        <f t="shared" si="7"/>
        <v>0</v>
      </c>
      <c r="H201" s="6"/>
    </row>
    <row r="202" spans="1:8" x14ac:dyDescent="0.3">
      <c r="A202" s="1"/>
      <c r="B202" s="312"/>
      <c r="C202" s="248" t="str">
        <f>'Valores ESTEC'!C314</f>
        <v>LX TABLERO METAL 1 PUERTA 300X300X200 IP65</v>
      </c>
      <c r="D202" s="244"/>
      <c r="E202" s="244" t="s">
        <v>8</v>
      </c>
      <c r="F202" s="245">
        <f>'Valores ESTEC'!G314</f>
        <v>27368.75</v>
      </c>
      <c r="G202" s="246">
        <f t="shared" si="7"/>
        <v>0</v>
      </c>
      <c r="H202" s="247"/>
    </row>
    <row r="203" spans="1:8" x14ac:dyDescent="0.3">
      <c r="A203" s="1"/>
      <c r="B203" s="312"/>
      <c r="C203" s="29" t="str">
        <f>'Valores ESTEC'!C315</f>
        <v>LX TABLERO METAL 1 PUERTA 400X300X200 IP65</v>
      </c>
      <c r="D203" s="13"/>
      <c r="E203" s="13" t="s">
        <v>8</v>
      </c>
      <c r="F203" s="5">
        <f>'Valores ESTEC'!G315</f>
        <v>31931.25</v>
      </c>
      <c r="G203" s="16">
        <f t="shared" si="7"/>
        <v>0</v>
      </c>
      <c r="H203" s="6"/>
    </row>
    <row r="204" spans="1:8" x14ac:dyDescent="0.3">
      <c r="A204" s="1"/>
      <c r="B204" s="312"/>
      <c r="C204" s="248" t="str">
        <f>'Valores ESTEC'!C316</f>
        <v>LX TABLERO METAL 1 PUERTA 500X400X200 IP65</v>
      </c>
      <c r="D204" s="244"/>
      <c r="E204" s="244" t="s">
        <v>8</v>
      </c>
      <c r="F204" s="245">
        <f>'Valores ESTEC'!G316</f>
        <v>47136.25</v>
      </c>
      <c r="G204" s="246">
        <f t="shared" si="7"/>
        <v>0</v>
      </c>
      <c r="H204" s="247"/>
    </row>
    <row r="205" spans="1:8" x14ac:dyDescent="0.3">
      <c r="A205" s="1"/>
      <c r="B205" s="312"/>
      <c r="C205" s="29" t="str">
        <f>'Valores ESTEC'!C317</f>
        <v>LX TABLERO METAL 1 PUERTA 600X400X200 IP65</v>
      </c>
      <c r="D205" s="13"/>
      <c r="E205" s="13" t="s">
        <v>8</v>
      </c>
      <c r="F205" s="5">
        <f>'Valores ESTEC'!G317</f>
        <v>60820</v>
      </c>
      <c r="G205" s="16">
        <f t="shared" si="7"/>
        <v>0</v>
      </c>
      <c r="H205" s="6"/>
    </row>
    <row r="206" spans="1:8" x14ac:dyDescent="0.3">
      <c r="A206" s="1"/>
      <c r="B206" s="312"/>
      <c r="C206" s="248" t="str">
        <f>'Valores ESTEC'!C318</f>
        <v>LX TABLERO METAL 1 PUERTA 800X600X200 IP65</v>
      </c>
      <c r="D206" s="244"/>
      <c r="E206" s="244" t="s">
        <v>8</v>
      </c>
      <c r="F206" s="245">
        <f>'Valores ESTEC'!G318</f>
        <v>102633.75</v>
      </c>
      <c r="G206" s="246">
        <f t="shared" si="7"/>
        <v>0</v>
      </c>
      <c r="H206" s="247"/>
    </row>
    <row r="207" spans="1:8" x14ac:dyDescent="0.3">
      <c r="A207" s="1"/>
      <c r="B207" s="312"/>
      <c r="C207" s="29" t="str">
        <f>'Valores ESTEC'!C319</f>
        <v>BK TABLERO POLIESTER 1 PUERTA 400X300X200MM C/PLACA MONTAJE</v>
      </c>
      <c r="D207" s="13"/>
      <c r="E207" s="13" t="s">
        <v>8</v>
      </c>
      <c r="F207" s="5">
        <f>'Valores ESTEC'!G319</f>
        <v>74496.25</v>
      </c>
      <c r="G207" s="16">
        <f t="shared" si="7"/>
        <v>0</v>
      </c>
      <c r="H207" s="6"/>
    </row>
    <row r="208" spans="1:8" x14ac:dyDescent="0.3">
      <c r="A208" s="1"/>
      <c r="B208" s="312"/>
      <c r="C208" s="248" t="str">
        <f>'Valores ESTEC'!C320</f>
        <v>BK TABLERO POLIESTER 1 PUERTA 500X400X200MM C/PLACA MONTAJE</v>
      </c>
      <c r="D208" s="244"/>
      <c r="E208" s="244" t="s">
        <v>8</v>
      </c>
      <c r="F208" s="245">
        <f>'Valores ESTEC'!G320</f>
        <v>111701.25</v>
      </c>
      <c r="G208" s="246">
        <f t="shared" si="7"/>
        <v>0</v>
      </c>
      <c r="H208" s="247"/>
    </row>
    <row r="209" spans="1:8" x14ac:dyDescent="0.3">
      <c r="A209" s="1"/>
      <c r="B209" s="312"/>
      <c r="C209" s="29" t="str">
        <f>'Valores ESTEC'!C321</f>
        <v>BK TABLERO POLIESTER 1 PUERTA 600X400X230MM C/PLACA MONTAJE</v>
      </c>
      <c r="D209" s="13"/>
      <c r="E209" s="13" t="s">
        <v>8</v>
      </c>
      <c r="F209" s="5">
        <f>'Valores ESTEC'!G321</f>
        <v>106625</v>
      </c>
      <c r="G209" s="16">
        <f t="shared" si="7"/>
        <v>0</v>
      </c>
      <c r="H209" s="6"/>
    </row>
    <row r="210" spans="1:8" x14ac:dyDescent="0.3">
      <c r="A210" s="1"/>
      <c r="B210" s="312"/>
      <c r="C210" s="248" t="str">
        <f>'Valores ESTEC'!C322</f>
        <v>BK TABLERO POLIESTER 1 PUERTA 600X500X230MM C/PLACA MONTAJE</v>
      </c>
      <c r="D210" s="244"/>
      <c r="E210" s="244" t="s">
        <v>8</v>
      </c>
      <c r="F210" s="245">
        <f>'Valores ESTEC'!G322</f>
        <v>154167.5</v>
      </c>
      <c r="G210" s="246">
        <f t="shared" si="7"/>
        <v>0</v>
      </c>
      <c r="H210" s="247"/>
    </row>
    <row r="211" spans="1:8" ht="14.25" customHeight="1" x14ac:dyDescent="0.3">
      <c r="A211" s="1"/>
      <c r="B211" s="312"/>
      <c r="C211" s="29" t="str">
        <f>'Valores ESTEC'!C323</f>
        <v>BK TABLERO POLIESTER 1 PUERTA 800X600X300MM C/PLACA MONTAJE</v>
      </c>
      <c r="D211" s="13"/>
      <c r="E211" s="13" t="s">
        <v>8</v>
      </c>
      <c r="F211" s="5">
        <f>'Valores ESTEC'!G323</f>
        <v>261145</v>
      </c>
      <c r="G211" s="16">
        <f t="shared" si="7"/>
        <v>0</v>
      </c>
      <c r="H211" s="6"/>
    </row>
    <row r="212" spans="1:8" x14ac:dyDescent="0.3">
      <c r="A212" s="1"/>
      <c r="B212" s="312"/>
      <c r="C212" s="248" t="str">
        <f>'Valores ESTEC'!C428</f>
        <v>BT RIELES PLASTICOS 3P MAGIC 503R</v>
      </c>
      <c r="D212" s="244"/>
      <c r="E212" s="244" t="s">
        <v>8</v>
      </c>
      <c r="F212" s="245">
        <f>'Valores ESTEC'!G428</f>
        <v>2102.5</v>
      </c>
      <c r="G212" s="246">
        <f t="shared" si="7"/>
        <v>0</v>
      </c>
      <c r="H212" s="247"/>
    </row>
    <row r="213" spans="1:8" x14ac:dyDescent="0.3">
      <c r="A213" s="1"/>
      <c r="B213" s="312"/>
      <c r="C213" s="29" t="str">
        <f>'Valores ESTEC'!C429</f>
        <v>BT PLACA ANODIZADA 1P MAGIC 503/1</v>
      </c>
      <c r="D213" s="13"/>
      <c r="E213" s="13" t="s">
        <v>8</v>
      </c>
      <c r="F213" s="5">
        <f>'Valores ESTEC'!G429</f>
        <v>5288.75</v>
      </c>
      <c r="G213" s="16">
        <f t="shared" si="7"/>
        <v>0</v>
      </c>
      <c r="H213" s="6"/>
    </row>
    <row r="214" spans="1:8" x14ac:dyDescent="0.3">
      <c r="A214" s="1"/>
      <c r="B214" s="312"/>
      <c r="C214" s="248" t="str">
        <f>'Valores ESTEC'!C430</f>
        <v>BT PLACA ANODIZADA 2P MAGIC 503/2</v>
      </c>
      <c r="D214" s="244"/>
      <c r="E214" s="244" t="s">
        <v>8</v>
      </c>
      <c r="F214" s="245">
        <f>'Valores ESTEC'!G430</f>
        <v>5288.75</v>
      </c>
      <c r="G214" s="246">
        <f t="shared" si="7"/>
        <v>0</v>
      </c>
      <c r="H214" s="247"/>
    </row>
    <row r="215" spans="1:8" x14ac:dyDescent="0.3">
      <c r="A215" s="1"/>
      <c r="B215" s="312"/>
      <c r="C215" s="29" t="str">
        <f>'Valores ESTEC'!C204</f>
        <v>LG AUTOMATICO 1X16A 6KA CURVA C RX3 419840</v>
      </c>
      <c r="D215" s="13"/>
      <c r="E215" s="13" t="s">
        <v>8</v>
      </c>
      <c r="F215" s="5">
        <f>'Valores ESTEC'!G204</f>
        <v>3798.75</v>
      </c>
      <c r="G215" s="16">
        <f t="shared" si="7"/>
        <v>0</v>
      </c>
      <c r="H215" s="6"/>
    </row>
    <row r="216" spans="1:8" x14ac:dyDescent="0.3">
      <c r="A216" s="1"/>
      <c r="B216" s="312"/>
      <c r="C216" s="248" t="str">
        <f>'Valores ESTEC'!C205</f>
        <v>LG AUTOMATICO 1X6A 6KA CURVA C RX3 419837</v>
      </c>
      <c r="D216" s="244"/>
      <c r="E216" s="244" t="s">
        <v>8</v>
      </c>
      <c r="F216" s="245">
        <f>'Valores ESTEC'!G205</f>
        <v>3798.75</v>
      </c>
      <c r="G216" s="246">
        <f t="shared" si="7"/>
        <v>0</v>
      </c>
      <c r="H216" s="247"/>
    </row>
    <row r="217" spans="1:8" x14ac:dyDescent="0.3">
      <c r="A217" s="1"/>
      <c r="B217" s="312"/>
      <c r="C217" s="29" t="str">
        <f>'Valores ESTEC'!C206</f>
        <v>LG AUTOMATICO 1X10A 6KA CURVA C RX3 419838</v>
      </c>
      <c r="D217" s="13"/>
      <c r="E217" s="13" t="s">
        <v>8</v>
      </c>
      <c r="F217" s="5">
        <f>'Valores ESTEC'!G206</f>
        <v>3798.75</v>
      </c>
      <c r="G217" s="16">
        <f t="shared" si="7"/>
        <v>0</v>
      </c>
      <c r="H217" s="6"/>
    </row>
    <row r="218" spans="1:8" x14ac:dyDescent="0.3">
      <c r="A218" s="1"/>
      <c r="B218" s="312"/>
      <c r="C218" s="248" t="str">
        <f>'Valores ESTEC'!C207</f>
        <v>LG AUTOMATICO 1X20A 6KA CURVA C RX3 419841</v>
      </c>
      <c r="D218" s="244"/>
      <c r="E218" s="244" t="s">
        <v>8</v>
      </c>
      <c r="F218" s="245">
        <f>'Valores ESTEC'!G207</f>
        <v>3798.75</v>
      </c>
      <c r="G218" s="246">
        <f t="shared" si="7"/>
        <v>0</v>
      </c>
      <c r="H218" s="247"/>
    </row>
    <row r="219" spans="1:8" x14ac:dyDescent="0.3">
      <c r="A219" s="1"/>
      <c r="B219" s="312"/>
      <c r="C219" s="29" t="str">
        <f>'Valores ESTEC'!C208</f>
        <v>LG AUTOMATICO 1X25A 6KA CURVA C RX3 419842</v>
      </c>
      <c r="D219" s="13"/>
      <c r="E219" s="13" t="s">
        <v>8</v>
      </c>
      <c r="F219" s="5">
        <f>'Valores ESTEC'!G208</f>
        <v>3798.75</v>
      </c>
      <c r="G219" s="16">
        <f t="shared" si="7"/>
        <v>0</v>
      </c>
      <c r="H219" s="6"/>
    </row>
    <row r="220" spans="1:8" x14ac:dyDescent="0.3">
      <c r="A220" s="1"/>
      <c r="B220" s="312"/>
      <c r="C220" s="248" t="str">
        <f>'Valores ESTEC'!C209</f>
        <v>LG INTERRUPTOR DIFERENCIAL 2X25A 30MA HPI 411590</v>
      </c>
      <c r="D220" s="244"/>
      <c r="E220" s="244" t="s">
        <v>8</v>
      </c>
      <c r="F220" s="245">
        <f>'Valores ESTEC'!G209</f>
        <v>128675</v>
      </c>
      <c r="G220" s="246">
        <f t="shared" si="7"/>
        <v>0</v>
      </c>
      <c r="H220" s="247"/>
    </row>
    <row r="221" spans="1:8" x14ac:dyDescent="0.3">
      <c r="A221" s="1"/>
      <c r="B221" s="312"/>
      <c r="C221" s="29" t="str">
        <f>'Valores ESTEC'!C210</f>
        <v>LG INTERRUPTOR DIFERENCIAL 2X25A 30MA RX3 402024</v>
      </c>
      <c r="D221" s="13"/>
      <c r="E221" s="13" t="s">
        <v>8</v>
      </c>
      <c r="F221" s="5">
        <f>'Valores ESTEC'!G210</f>
        <v>20262.5</v>
      </c>
      <c r="G221" s="16">
        <f t="shared" si="7"/>
        <v>0</v>
      </c>
      <c r="H221" s="6"/>
    </row>
    <row r="222" spans="1:8" x14ac:dyDescent="0.3">
      <c r="A222" s="1"/>
      <c r="B222" s="312"/>
      <c r="C222" s="248" t="str">
        <f>'Valores ESTEC'!C431</f>
        <v>TK CONECTOR RAPIDO AMARILLO 12-10AWG X100</v>
      </c>
      <c r="D222" s="244"/>
      <c r="E222" s="244" t="s">
        <v>8</v>
      </c>
      <c r="F222" s="245">
        <f>'Valores ESTEC'!G431</f>
        <v>5925</v>
      </c>
      <c r="G222" s="246">
        <f t="shared" si="7"/>
        <v>0</v>
      </c>
      <c r="H222" s="247"/>
    </row>
    <row r="223" spans="1:8" x14ac:dyDescent="0.3">
      <c r="A223" s="1"/>
      <c r="B223" s="312"/>
      <c r="C223" s="29" t="str">
        <f>'Valores ESTEC'!C434</f>
        <v>TK TERMINAL FERRUL 2.5MM X 100 UD</v>
      </c>
      <c r="D223" s="13"/>
      <c r="E223" s="13" t="s">
        <v>8</v>
      </c>
      <c r="F223" s="5">
        <f>'Valores ESTEC'!G434</f>
        <v>761.25</v>
      </c>
      <c r="G223" s="16">
        <f t="shared" si="7"/>
        <v>0</v>
      </c>
      <c r="H223" s="6"/>
    </row>
    <row r="224" spans="1:8" x14ac:dyDescent="0.3">
      <c r="A224" s="1"/>
      <c r="B224" s="312"/>
      <c r="C224" s="248" t="str">
        <f>'Valores ESTEC'!C249</f>
        <v>TX UPS INTERACTIVA RACK APEX 1KVA</v>
      </c>
      <c r="D224" s="244"/>
      <c r="E224" s="244" t="s">
        <v>8</v>
      </c>
      <c r="F224" s="245">
        <f>'Valores ESTEC'!G249</f>
        <v>181747.5</v>
      </c>
      <c r="G224" s="246">
        <f t="shared" si="7"/>
        <v>0</v>
      </c>
      <c r="H224" s="247"/>
    </row>
    <row r="225" spans="1:8" x14ac:dyDescent="0.3">
      <c r="A225" s="1"/>
      <c r="B225" s="312"/>
      <c r="C225" s="29" t="str">
        <f>'Valores ESTEC'!C250</f>
        <v>TX UPS INTERACTIVA RACK APEX 2KVA</v>
      </c>
      <c r="D225" s="13"/>
      <c r="E225" s="13" t="s">
        <v>8</v>
      </c>
      <c r="F225" s="5">
        <f>'Valores ESTEC'!G250</f>
        <v>230323.75</v>
      </c>
      <c r="G225" s="16">
        <f t="shared" si="7"/>
        <v>0</v>
      </c>
      <c r="H225" s="6"/>
    </row>
    <row r="226" spans="1:8" x14ac:dyDescent="0.3">
      <c r="A226" s="1"/>
      <c r="B226" s="312"/>
      <c r="C226" s="248" t="str">
        <f>'Valores ESTEC'!C251</f>
        <v>TX UPS INTERACTIVA RACK APEX 600VA</v>
      </c>
      <c r="D226" s="244"/>
      <c r="E226" s="244" t="s">
        <v>8</v>
      </c>
      <c r="F226" s="245">
        <f>'Valores ESTEC'!G251</f>
        <v>106563.75</v>
      </c>
      <c r="G226" s="246">
        <f t="shared" si="7"/>
        <v>0</v>
      </c>
      <c r="H226" s="247"/>
    </row>
    <row r="227" spans="1:8" x14ac:dyDescent="0.3">
      <c r="A227" s="1"/>
      <c r="B227" s="312"/>
      <c r="C227" s="29" t="str">
        <f>'Valores ESTEC'!C252</f>
        <v>TX UPS INTERACTIVA TORRE 1KVA VEST-1K</v>
      </c>
      <c r="D227" s="13"/>
      <c r="E227" s="13" t="s">
        <v>8</v>
      </c>
      <c r="F227" s="5">
        <f>'Valores ESTEC'!G252</f>
        <v>98883.75</v>
      </c>
      <c r="G227" s="16">
        <f t="shared" si="7"/>
        <v>0</v>
      </c>
      <c r="H227" s="6"/>
    </row>
    <row r="228" spans="1:8" x14ac:dyDescent="0.3">
      <c r="A228" s="1"/>
      <c r="B228" s="312"/>
      <c r="C228" s="248" t="str">
        <f>'Valores ESTEC'!C253</f>
        <v>TX UPS INTERACTIVA TORRE 2KVA VEST-2K</v>
      </c>
      <c r="D228" s="244"/>
      <c r="E228" s="244" t="s">
        <v>8</v>
      </c>
      <c r="F228" s="245">
        <f>'Valores ESTEC'!G253</f>
        <v>150757.5</v>
      </c>
      <c r="G228" s="246">
        <f t="shared" si="7"/>
        <v>0</v>
      </c>
      <c r="H228" s="247"/>
    </row>
    <row r="229" spans="1:8" x14ac:dyDescent="0.3">
      <c r="A229" s="1"/>
      <c r="B229" s="312"/>
      <c r="C229" s="29" t="str">
        <f>'Valores ESTEC'!C254</f>
        <v>TX UPS INTERACTIVA TORRE MONO 1.5KVA VEST-1.5K</v>
      </c>
      <c r="D229" s="13"/>
      <c r="E229" s="13" t="s">
        <v>8</v>
      </c>
      <c r="F229" s="5">
        <f>'Valores ESTEC'!G254</f>
        <v>129013.75</v>
      </c>
      <c r="G229" s="16">
        <f t="shared" si="7"/>
        <v>0</v>
      </c>
      <c r="H229" s="6"/>
    </row>
    <row r="230" spans="1:8" x14ac:dyDescent="0.3">
      <c r="A230" s="1"/>
      <c r="B230" s="312"/>
      <c r="C230" s="248" t="str">
        <f>'Valores ESTEC'!C255</f>
        <v>TX UPS INTERACTIVA TORRE MONO 600VA APEX-600VA</v>
      </c>
      <c r="D230" s="244"/>
      <c r="E230" s="244" t="s">
        <v>8</v>
      </c>
      <c r="F230" s="245">
        <f>'Valores ESTEC'!G255</f>
        <v>60507.5</v>
      </c>
      <c r="G230" s="246">
        <f t="shared" si="7"/>
        <v>0</v>
      </c>
      <c r="H230" s="247"/>
    </row>
    <row r="231" spans="1:8" x14ac:dyDescent="0.3">
      <c r="A231" s="1"/>
      <c r="B231" s="312"/>
      <c r="C231" s="29" t="str">
        <f>'Valores ESTEC'!C256</f>
        <v>TX UPS ONLINE RACK(450)/TORRE 1KVA WINPRO-1K</v>
      </c>
      <c r="D231" s="13"/>
      <c r="E231" s="13" t="s">
        <v>8</v>
      </c>
      <c r="F231" s="5">
        <f>'Valores ESTEC'!G256</f>
        <v>269253.75</v>
      </c>
      <c r="G231" s="16">
        <f t="shared" si="7"/>
        <v>0</v>
      </c>
      <c r="H231" s="6"/>
    </row>
    <row r="232" spans="1:8" x14ac:dyDescent="0.3">
      <c r="A232" s="1"/>
      <c r="B232" s="312"/>
      <c r="C232" s="248" t="str">
        <f>'Valores ESTEC'!C257</f>
        <v>TX UPS ONLINE RACK(600)/TORRE 2KVA WINPRO-2K</v>
      </c>
      <c r="D232" s="244"/>
      <c r="E232" s="244" t="s">
        <v>8</v>
      </c>
      <c r="F232" s="245">
        <f>'Valores ESTEC'!G257</f>
        <v>448857.5</v>
      </c>
      <c r="G232" s="246">
        <f t="shared" si="7"/>
        <v>0</v>
      </c>
      <c r="H232" s="247"/>
    </row>
    <row r="233" spans="1:8" x14ac:dyDescent="0.3">
      <c r="A233" s="1"/>
      <c r="B233" s="312"/>
      <c r="C233" s="29" t="str">
        <f>'Valores ESTEC'!C258</f>
        <v>TX UPS ONLINE RACK(800)/TORRE 3KVA WINPRO-3K</v>
      </c>
      <c r="D233" s="13"/>
      <c r="E233" s="13" t="s">
        <v>8</v>
      </c>
      <c r="F233" s="5">
        <f>'Valores ESTEC'!G258</f>
        <v>588272.5</v>
      </c>
      <c r="G233" s="16">
        <f t="shared" si="7"/>
        <v>0</v>
      </c>
      <c r="H233" s="6"/>
    </row>
    <row r="234" spans="1:8" x14ac:dyDescent="0.3">
      <c r="A234" s="1"/>
      <c r="B234" s="312"/>
      <c r="C234" s="248" t="str">
        <f>'Valores ESTEC'!C259</f>
        <v>TX UPS ONLINE RACK/TORRE 10KVA WINPRO-10K</v>
      </c>
      <c r="D234" s="244"/>
      <c r="E234" s="244" t="s">
        <v>8</v>
      </c>
      <c r="F234" s="245">
        <f>'Valores ESTEC'!G259</f>
        <v>1836043.75</v>
      </c>
      <c r="G234" s="246">
        <f t="shared" si="7"/>
        <v>0</v>
      </c>
      <c r="H234" s="247"/>
    </row>
    <row r="235" spans="1:8" x14ac:dyDescent="0.3">
      <c r="A235" s="1"/>
      <c r="B235" s="312"/>
      <c r="C235" s="29" t="str">
        <f>'Valores ESTEC'!C260</f>
        <v>TX UPS ONLINE RACK/TORRE 6KVA WINPRO-6K</v>
      </c>
      <c r="D235" s="13"/>
      <c r="E235" s="13" t="s">
        <v>8</v>
      </c>
      <c r="F235" s="5">
        <f>'Valores ESTEC'!G260</f>
        <v>1503396.25</v>
      </c>
      <c r="G235" s="16">
        <f t="shared" si="7"/>
        <v>0</v>
      </c>
      <c r="H235" s="6"/>
    </row>
    <row r="236" spans="1:8" x14ac:dyDescent="0.3">
      <c r="A236" s="1"/>
      <c r="B236" s="312"/>
      <c r="C236" s="248" t="str">
        <f>'Valores ESTEC'!C261</f>
        <v>TX UPS ONLINE TORRE 10KVA WINPRO-10K</v>
      </c>
      <c r="D236" s="244"/>
      <c r="E236" s="244" t="s">
        <v>8</v>
      </c>
      <c r="F236" s="245">
        <f>'Valores ESTEC'!G261</f>
        <v>1536460</v>
      </c>
      <c r="G236" s="246">
        <f t="shared" si="7"/>
        <v>0</v>
      </c>
      <c r="H236" s="247"/>
    </row>
    <row r="237" spans="1:8" x14ac:dyDescent="0.3">
      <c r="A237" s="1"/>
      <c r="B237" s="312"/>
      <c r="C237" s="29" t="str">
        <f>'Valores ESTEC'!C262</f>
        <v>TX UPS ONLINE TORRE 6KVA WINPRO-6K</v>
      </c>
      <c r="D237" s="13"/>
      <c r="E237" s="13" t="s">
        <v>8</v>
      </c>
      <c r="F237" s="5">
        <f>'Valores ESTEC'!G262</f>
        <v>1120053.75</v>
      </c>
      <c r="G237" s="16">
        <f t="shared" si="7"/>
        <v>0</v>
      </c>
      <c r="H237" s="6"/>
    </row>
    <row r="238" spans="1:8" x14ac:dyDescent="0.3">
      <c r="A238" s="1"/>
      <c r="B238" s="312"/>
      <c r="C238" s="248" t="str">
        <f>'Valores ESTEC'!C263</f>
        <v>TX TARJETA SNMP UPS ONLINE WINPRO</v>
      </c>
      <c r="D238" s="244"/>
      <c r="E238" s="244" t="s">
        <v>8</v>
      </c>
      <c r="F238" s="245">
        <f>'Valores ESTEC'!G263</f>
        <v>121333.75</v>
      </c>
      <c r="G238" s="246">
        <f t="shared" si="7"/>
        <v>0</v>
      </c>
      <c r="H238" s="247"/>
    </row>
    <row r="239" spans="1:8" x14ac:dyDescent="0.3">
      <c r="A239" s="1"/>
      <c r="B239" s="312"/>
      <c r="C239" s="29" t="str">
        <f>'Valores ESTEC'!C264</f>
        <v>TX KIT RIELES 19" UPS WINPRO</v>
      </c>
      <c r="D239" s="13"/>
      <c r="E239" s="13" t="s">
        <v>8</v>
      </c>
      <c r="F239" s="5">
        <f>'Valores ESTEC'!G264</f>
        <v>46632.5</v>
      </c>
      <c r="G239" s="16">
        <f t="shared" si="7"/>
        <v>0</v>
      </c>
      <c r="H239" s="6"/>
    </row>
    <row r="240" spans="1:8" x14ac:dyDescent="0.3">
      <c r="A240" s="1"/>
      <c r="B240" s="312"/>
      <c r="C240" s="248" t="s">
        <v>129</v>
      </c>
      <c r="D240" s="244"/>
      <c r="E240" s="244" t="s">
        <v>8</v>
      </c>
      <c r="F240" s="245">
        <f>'Valores ESTEC'!G265</f>
        <v>1472.5</v>
      </c>
      <c r="G240" s="246">
        <f t="shared" si="7"/>
        <v>0</v>
      </c>
      <c r="H240" s="247"/>
    </row>
    <row r="241" spans="1:9" x14ac:dyDescent="0.3">
      <c r="A241" s="1"/>
      <c r="B241" s="312"/>
      <c r="C241" s="29" t="s">
        <v>130</v>
      </c>
      <c r="D241" s="13"/>
      <c r="E241" s="13" t="s">
        <v>8</v>
      </c>
      <c r="F241" s="5">
        <v>15598</v>
      </c>
      <c r="G241" s="16">
        <f t="shared" si="7"/>
        <v>0</v>
      </c>
      <c r="H241" s="6"/>
    </row>
    <row r="242" spans="1:9" x14ac:dyDescent="0.3">
      <c r="A242" s="1"/>
      <c r="B242" s="312"/>
      <c r="C242" s="248" t="s">
        <v>72</v>
      </c>
      <c r="D242" s="244"/>
      <c r="E242" s="244" t="s">
        <v>8</v>
      </c>
      <c r="F242" s="245">
        <v>1548</v>
      </c>
      <c r="G242" s="246">
        <f>F242*D242</f>
        <v>0</v>
      </c>
      <c r="H242" s="247"/>
    </row>
    <row r="243" spans="1:9" x14ac:dyDescent="0.3">
      <c r="A243" s="1"/>
      <c r="B243" s="312"/>
      <c r="C243" s="29" t="s">
        <v>131</v>
      </c>
      <c r="D243" s="13"/>
      <c r="E243" s="13" t="s">
        <v>8</v>
      </c>
      <c r="F243" s="5">
        <v>23521</v>
      </c>
      <c r="G243" s="16">
        <f t="shared" si="7"/>
        <v>0</v>
      </c>
      <c r="H243" s="6"/>
    </row>
    <row r="244" spans="1:9" x14ac:dyDescent="0.3">
      <c r="A244" s="1"/>
      <c r="B244" s="312"/>
      <c r="C244" s="248" t="s">
        <v>133</v>
      </c>
      <c r="D244" s="244"/>
      <c r="E244" s="244" t="s">
        <v>8</v>
      </c>
      <c r="F244" s="245">
        <v>23521</v>
      </c>
      <c r="G244" s="246">
        <f t="shared" si="7"/>
        <v>0</v>
      </c>
      <c r="H244" s="247"/>
    </row>
    <row r="245" spans="1:9" x14ac:dyDescent="0.3">
      <c r="A245" s="1"/>
      <c r="B245" s="312"/>
      <c r="C245" s="29" t="s">
        <v>73</v>
      </c>
      <c r="D245" s="13"/>
      <c r="E245" s="13" t="s">
        <v>8</v>
      </c>
      <c r="F245" s="5">
        <v>2998</v>
      </c>
      <c r="G245" s="16">
        <f t="shared" si="7"/>
        <v>0</v>
      </c>
      <c r="H245" s="6"/>
    </row>
    <row r="246" spans="1:9" x14ac:dyDescent="0.3">
      <c r="A246" s="1"/>
      <c r="B246" s="312"/>
      <c r="C246" s="248" t="s">
        <v>353</v>
      </c>
      <c r="D246" s="244"/>
      <c r="E246" s="244" t="s">
        <v>8</v>
      </c>
      <c r="F246" s="245">
        <f>'Valores ESTEC'!G74</f>
        <v>1457.5</v>
      </c>
      <c r="G246" s="246">
        <f t="shared" si="7"/>
        <v>0</v>
      </c>
      <c r="H246" s="247"/>
    </row>
    <row r="247" spans="1:9" x14ac:dyDescent="0.3">
      <c r="A247" s="1"/>
      <c r="B247" s="312"/>
      <c r="C247" s="29" t="s">
        <v>74</v>
      </c>
      <c r="D247" s="13"/>
      <c r="E247" s="13" t="s">
        <v>8</v>
      </c>
      <c r="F247" s="5">
        <f>'Valores ESTEC'!G202</f>
        <v>26620</v>
      </c>
      <c r="G247" s="16">
        <f t="shared" si="7"/>
        <v>0</v>
      </c>
      <c r="H247" s="6"/>
    </row>
    <row r="248" spans="1:9" ht="15" thickBot="1" x14ac:dyDescent="0.35">
      <c r="A248" s="1"/>
      <c r="B248" s="312"/>
      <c r="C248" s="249" t="s">
        <v>75</v>
      </c>
      <c r="D248" s="244"/>
      <c r="E248" s="244" t="s">
        <v>8</v>
      </c>
      <c r="F248" s="256">
        <v>350000</v>
      </c>
      <c r="G248" s="246">
        <f t="shared" si="7"/>
        <v>0</v>
      </c>
      <c r="H248" s="247"/>
    </row>
    <row r="249" spans="1:9" ht="15" thickBot="1" x14ac:dyDescent="0.35">
      <c r="A249" s="1"/>
      <c r="B249" s="316" t="s">
        <v>76</v>
      </c>
      <c r="C249" s="29" t="s">
        <v>188</v>
      </c>
      <c r="D249" s="18"/>
      <c r="E249" s="18" t="s">
        <v>13</v>
      </c>
      <c r="F249" s="27">
        <v>2700</v>
      </c>
      <c r="G249" s="15">
        <f>F249*D249</f>
        <v>0</v>
      </c>
      <c r="H249" s="219"/>
      <c r="I249" s="8"/>
    </row>
    <row r="250" spans="1:9" x14ac:dyDescent="0.3">
      <c r="A250" s="1"/>
      <c r="B250" s="317"/>
      <c r="C250" s="341" t="s">
        <v>224</v>
      </c>
      <c r="D250" s="261"/>
      <c r="E250" s="261" t="s">
        <v>13</v>
      </c>
      <c r="F250" s="241">
        <f>'Valores ESTEC'!G107</f>
        <v>48340</v>
      </c>
      <c r="G250" s="242">
        <f>F250*D250</f>
        <v>0</v>
      </c>
      <c r="H250" s="247"/>
    </row>
    <row r="251" spans="1:9" x14ac:dyDescent="0.3">
      <c r="A251" s="1"/>
      <c r="B251" s="317"/>
      <c r="C251" s="29" t="s">
        <v>1089</v>
      </c>
      <c r="D251" s="19"/>
      <c r="E251" s="19" t="s">
        <v>8</v>
      </c>
      <c r="F251" s="5">
        <f>'Valores ESTEC'!G290</f>
        <v>53923.75</v>
      </c>
      <c r="G251" s="16">
        <f>F251*D251</f>
        <v>0</v>
      </c>
      <c r="H251" s="6"/>
    </row>
    <row r="252" spans="1:9" x14ac:dyDescent="0.3">
      <c r="A252" s="1"/>
      <c r="B252" s="317"/>
      <c r="C252" s="248" t="s">
        <v>1270</v>
      </c>
      <c r="D252" s="257"/>
      <c r="E252" s="257" t="s">
        <v>8</v>
      </c>
      <c r="F252" s="245">
        <f>'Valores ESTEC'!G435</f>
        <v>108553.75</v>
      </c>
      <c r="G252" s="246">
        <f t="shared" ref="G252:G315" si="8">F252*D252</f>
        <v>0</v>
      </c>
      <c r="H252" s="247"/>
    </row>
    <row r="253" spans="1:9" x14ac:dyDescent="0.3">
      <c r="A253" s="1"/>
      <c r="B253" s="317"/>
      <c r="C253" s="29" t="s">
        <v>165</v>
      </c>
      <c r="D253" s="19"/>
      <c r="E253" s="19" t="s">
        <v>8</v>
      </c>
      <c r="F253" s="5">
        <v>75000</v>
      </c>
      <c r="G253" s="16">
        <f t="shared" si="8"/>
        <v>0</v>
      </c>
      <c r="H253" s="6"/>
    </row>
    <row r="254" spans="1:9" x14ac:dyDescent="0.3">
      <c r="A254" s="1"/>
      <c r="B254" s="317"/>
      <c r="C254" s="248" t="s">
        <v>351</v>
      </c>
      <c r="D254" s="257"/>
      <c r="E254" s="257" t="s">
        <v>8</v>
      </c>
      <c r="F254" s="245">
        <v>9500</v>
      </c>
      <c r="G254" s="246">
        <f t="shared" si="8"/>
        <v>0</v>
      </c>
      <c r="H254" s="247"/>
    </row>
    <row r="255" spans="1:9" x14ac:dyDescent="0.3">
      <c r="A255" s="1"/>
      <c r="B255" s="317"/>
      <c r="C255" s="29" t="s">
        <v>350</v>
      </c>
      <c r="D255" s="19"/>
      <c r="E255" s="19" t="s">
        <v>8</v>
      </c>
      <c r="F255" s="5">
        <v>5745</v>
      </c>
      <c r="G255" s="16">
        <f t="shared" si="8"/>
        <v>0</v>
      </c>
      <c r="H255" s="6"/>
    </row>
    <row r="256" spans="1:9" x14ac:dyDescent="0.3">
      <c r="A256" s="1"/>
      <c r="B256" s="317"/>
      <c r="C256" s="248" t="s">
        <v>348</v>
      </c>
      <c r="D256" s="257"/>
      <c r="E256" s="257" t="s">
        <v>8</v>
      </c>
      <c r="F256" s="245">
        <v>6000</v>
      </c>
      <c r="G256" s="246">
        <f t="shared" si="8"/>
        <v>0</v>
      </c>
      <c r="H256" s="247"/>
    </row>
    <row r="257" spans="1:8" x14ac:dyDescent="0.3">
      <c r="A257" s="1"/>
      <c r="B257" s="317"/>
      <c r="C257" s="29" t="s">
        <v>349</v>
      </c>
      <c r="D257" s="19"/>
      <c r="E257" s="19" t="s">
        <v>8</v>
      </c>
      <c r="F257" s="5">
        <v>6214</v>
      </c>
      <c r="G257" s="16">
        <f t="shared" si="8"/>
        <v>0</v>
      </c>
      <c r="H257" s="6"/>
    </row>
    <row r="258" spans="1:8" x14ac:dyDescent="0.3">
      <c r="A258" s="1"/>
      <c r="B258" s="317"/>
      <c r="C258" s="248" t="s">
        <v>135</v>
      </c>
      <c r="D258" s="257"/>
      <c r="E258" s="257" t="s">
        <v>8</v>
      </c>
      <c r="F258" s="245">
        <v>6542</v>
      </c>
      <c r="G258" s="246">
        <f t="shared" si="8"/>
        <v>0</v>
      </c>
      <c r="H258" s="247"/>
    </row>
    <row r="259" spans="1:8" x14ac:dyDescent="0.3">
      <c r="A259" s="1"/>
      <c r="B259" s="317"/>
      <c r="C259" s="29" t="s">
        <v>77</v>
      </c>
      <c r="D259" s="19"/>
      <c r="E259" s="19" t="s">
        <v>8</v>
      </c>
      <c r="F259" s="5">
        <v>4065</v>
      </c>
      <c r="G259" s="16">
        <f t="shared" si="8"/>
        <v>0</v>
      </c>
      <c r="H259" s="6"/>
    </row>
    <row r="260" spans="1:8" x14ac:dyDescent="0.3">
      <c r="A260" s="1"/>
      <c r="B260" s="317"/>
      <c r="C260" s="248" t="s">
        <v>78</v>
      </c>
      <c r="D260" s="257"/>
      <c r="E260" s="257" t="s">
        <v>8</v>
      </c>
      <c r="F260" s="245">
        <v>6214</v>
      </c>
      <c r="G260" s="246">
        <f t="shared" si="8"/>
        <v>0</v>
      </c>
      <c r="H260" s="247"/>
    </row>
    <row r="261" spans="1:8" x14ac:dyDescent="0.3">
      <c r="A261" s="1"/>
      <c r="B261" s="317"/>
      <c r="C261" s="29" t="s">
        <v>79</v>
      </c>
      <c r="D261" s="19"/>
      <c r="E261" s="19" t="s">
        <v>8</v>
      </c>
      <c r="F261" s="5">
        <v>3085</v>
      </c>
      <c r="G261" s="16">
        <f t="shared" si="8"/>
        <v>0</v>
      </c>
      <c r="H261" s="6"/>
    </row>
    <row r="262" spans="1:8" x14ac:dyDescent="0.3">
      <c r="A262" s="1"/>
      <c r="B262" s="317"/>
      <c r="C262" s="248" t="s">
        <v>80</v>
      </c>
      <c r="D262" s="257"/>
      <c r="E262" s="257" t="s">
        <v>8</v>
      </c>
      <c r="F262" s="245">
        <v>2985</v>
      </c>
      <c r="G262" s="246">
        <f t="shared" si="8"/>
        <v>0</v>
      </c>
      <c r="H262" s="247"/>
    </row>
    <row r="263" spans="1:8" x14ac:dyDescent="0.3">
      <c r="A263" s="1"/>
      <c r="B263" s="317"/>
      <c r="C263" s="29" t="s">
        <v>81</v>
      </c>
      <c r="D263" s="19"/>
      <c r="E263" s="19" t="s">
        <v>8</v>
      </c>
      <c r="F263" s="5">
        <v>25000</v>
      </c>
      <c r="G263" s="16">
        <f t="shared" si="8"/>
        <v>0</v>
      </c>
      <c r="H263" s="6"/>
    </row>
    <row r="264" spans="1:8" x14ac:dyDescent="0.3">
      <c r="A264" s="1"/>
      <c r="B264" s="317"/>
      <c r="C264" s="248" t="s">
        <v>189</v>
      </c>
      <c r="D264" s="257"/>
      <c r="E264" s="257" t="s">
        <v>8</v>
      </c>
      <c r="F264" s="245">
        <v>116000</v>
      </c>
      <c r="G264" s="246">
        <f t="shared" si="8"/>
        <v>0</v>
      </c>
      <c r="H264" s="247"/>
    </row>
    <row r="265" spans="1:8" x14ac:dyDescent="0.3">
      <c r="A265" s="1"/>
      <c r="B265" s="317"/>
      <c r="C265" s="29" t="s">
        <v>190</v>
      </c>
      <c r="D265" s="19"/>
      <c r="E265" s="19" t="s">
        <v>8</v>
      </c>
      <c r="F265" s="5">
        <v>255854</v>
      </c>
      <c r="G265" s="16">
        <f t="shared" si="8"/>
        <v>0</v>
      </c>
      <c r="H265" s="6"/>
    </row>
    <row r="266" spans="1:8" x14ac:dyDescent="0.3">
      <c r="A266" s="1"/>
      <c r="B266" s="317"/>
      <c r="C266" s="248" t="s">
        <v>191</v>
      </c>
      <c r="D266" s="257"/>
      <c r="E266" s="257" t="s">
        <v>8</v>
      </c>
      <c r="F266" s="245">
        <v>15854</v>
      </c>
      <c r="G266" s="246">
        <f t="shared" si="8"/>
        <v>0</v>
      </c>
      <c r="H266" s="247"/>
    </row>
    <row r="267" spans="1:8" x14ac:dyDescent="0.3">
      <c r="A267" s="1"/>
      <c r="B267" s="317"/>
      <c r="C267" s="29" t="s">
        <v>192</v>
      </c>
      <c r="D267" s="19"/>
      <c r="E267" s="19" t="s">
        <v>8</v>
      </c>
      <c r="F267" s="5">
        <v>9000</v>
      </c>
      <c r="G267" s="16">
        <f t="shared" si="8"/>
        <v>0</v>
      </c>
      <c r="H267" s="6"/>
    </row>
    <row r="268" spans="1:8" x14ac:dyDescent="0.3">
      <c r="A268" s="1"/>
      <c r="B268" s="317"/>
      <c r="C268" s="248" t="s">
        <v>193</v>
      </c>
      <c r="D268" s="257"/>
      <c r="E268" s="257" t="s">
        <v>8</v>
      </c>
      <c r="F268" s="245">
        <v>9000</v>
      </c>
      <c r="G268" s="246">
        <f t="shared" si="8"/>
        <v>0</v>
      </c>
      <c r="H268" s="247"/>
    </row>
    <row r="269" spans="1:8" ht="15" thickBot="1" x14ac:dyDescent="0.35">
      <c r="A269" s="1"/>
      <c r="B269" s="317"/>
      <c r="C269" s="4" t="s">
        <v>82</v>
      </c>
      <c r="D269" s="19"/>
      <c r="E269" s="19" t="s">
        <v>8</v>
      </c>
      <c r="F269" s="5">
        <v>30000</v>
      </c>
      <c r="G269" s="16">
        <f t="shared" si="8"/>
        <v>0</v>
      </c>
      <c r="H269" s="6"/>
    </row>
    <row r="270" spans="1:8" ht="15" thickBot="1" x14ac:dyDescent="0.35">
      <c r="A270" s="1"/>
      <c r="B270" s="285" t="s">
        <v>295</v>
      </c>
      <c r="C270" s="250" t="s">
        <v>296</v>
      </c>
      <c r="D270" s="262"/>
      <c r="E270" s="262" t="s">
        <v>8</v>
      </c>
      <c r="F270" s="263">
        <v>1000000</v>
      </c>
      <c r="G270" s="264">
        <f>F270*D270</f>
        <v>0</v>
      </c>
      <c r="H270" s="265"/>
    </row>
    <row r="271" spans="1:8" x14ac:dyDescent="0.3">
      <c r="A271" s="1"/>
      <c r="B271" s="312" t="s">
        <v>83</v>
      </c>
      <c r="C271" s="4" t="s">
        <v>84</v>
      </c>
      <c r="D271" s="19"/>
      <c r="E271" s="19" t="s">
        <v>217</v>
      </c>
      <c r="F271" s="5">
        <v>80000</v>
      </c>
      <c r="G271" s="16">
        <f t="shared" si="8"/>
        <v>0</v>
      </c>
      <c r="H271" s="6"/>
    </row>
    <row r="272" spans="1:8" x14ac:dyDescent="0.3">
      <c r="A272" s="1"/>
      <c r="B272" s="312"/>
      <c r="C272" s="239" t="s">
        <v>225</v>
      </c>
      <c r="D272" s="257"/>
      <c r="E272" s="257" t="s">
        <v>13</v>
      </c>
      <c r="F272" s="245">
        <v>1000</v>
      </c>
      <c r="G272" s="246">
        <f t="shared" si="8"/>
        <v>0</v>
      </c>
      <c r="H272" s="247"/>
    </row>
    <row r="273" spans="1:8" x14ac:dyDescent="0.3">
      <c r="A273" s="1"/>
      <c r="B273" s="312"/>
      <c r="C273" s="4" t="s">
        <v>194</v>
      </c>
      <c r="D273" s="19"/>
      <c r="E273" s="19" t="s">
        <v>8</v>
      </c>
      <c r="F273" s="5">
        <v>680000</v>
      </c>
      <c r="G273" s="16">
        <f t="shared" si="8"/>
        <v>0</v>
      </c>
      <c r="H273" s="6"/>
    </row>
    <row r="274" spans="1:8" x14ac:dyDescent="0.3">
      <c r="A274" s="1"/>
      <c r="B274" s="312"/>
      <c r="C274" s="239" t="s">
        <v>195</v>
      </c>
      <c r="D274" s="257"/>
      <c r="E274" s="257" t="s">
        <v>8</v>
      </c>
      <c r="F274" s="245">
        <v>380000</v>
      </c>
      <c r="G274" s="246">
        <f t="shared" si="8"/>
        <v>0</v>
      </c>
      <c r="H274" s="247"/>
    </row>
    <row r="275" spans="1:8" x14ac:dyDescent="0.3">
      <c r="A275" s="1"/>
      <c r="B275" s="312"/>
      <c r="C275" s="4" t="s">
        <v>196</v>
      </c>
      <c r="D275" s="19"/>
      <c r="E275" s="19" t="s">
        <v>8</v>
      </c>
      <c r="F275" s="5">
        <v>290000</v>
      </c>
      <c r="G275" s="16">
        <f t="shared" si="8"/>
        <v>0</v>
      </c>
      <c r="H275" s="6"/>
    </row>
    <row r="276" spans="1:8" x14ac:dyDescent="0.3">
      <c r="A276" s="1"/>
      <c r="B276" s="312"/>
      <c r="C276" s="239" t="s">
        <v>197</v>
      </c>
      <c r="D276" s="257"/>
      <c r="E276" s="257" t="s">
        <v>8</v>
      </c>
      <c r="F276" s="245">
        <v>3200</v>
      </c>
      <c r="G276" s="246">
        <f t="shared" si="8"/>
        <v>0</v>
      </c>
      <c r="H276" s="247"/>
    </row>
    <row r="277" spans="1:8" x14ac:dyDescent="0.3">
      <c r="A277" s="1"/>
      <c r="B277" s="312"/>
      <c r="C277" s="4" t="s">
        <v>198</v>
      </c>
      <c r="D277" s="19"/>
      <c r="E277" s="19" t="s">
        <v>8</v>
      </c>
      <c r="F277" s="5">
        <v>500000</v>
      </c>
      <c r="G277" s="16">
        <f t="shared" si="8"/>
        <v>0</v>
      </c>
      <c r="H277" s="6"/>
    </row>
    <row r="278" spans="1:8" x14ac:dyDescent="0.3">
      <c r="A278" s="1"/>
      <c r="B278" s="312"/>
      <c r="C278" s="239" t="s">
        <v>199</v>
      </c>
      <c r="D278" s="257"/>
      <c r="E278" s="257" t="s">
        <v>8</v>
      </c>
      <c r="F278" s="245">
        <v>450000</v>
      </c>
      <c r="G278" s="246">
        <f t="shared" si="8"/>
        <v>0</v>
      </c>
      <c r="H278" s="247"/>
    </row>
    <row r="279" spans="1:8" x14ac:dyDescent="0.3">
      <c r="A279" s="1"/>
      <c r="B279" s="312"/>
      <c r="C279" s="4" t="s">
        <v>227</v>
      </c>
      <c r="D279" s="19"/>
      <c r="E279" s="19" t="s">
        <v>229</v>
      </c>
      <c r="F279" s="5">
        <v>800000</v>
      </c>
      <c r="G279" s="16">
        <f t="shared" si="8"/>
        <v>0</v>
      </c>
      <c r="H279" s="6"/>
    </row>
    <row r="280" spans="1:8" x14ac:dyDescent="0.3">
      <c r="A280" s="1"/>
      <c r="B280" s="312"/>
      <c r="C280" s="239" t="s">
        <v>228</v>
      </c>
      <c r="D280" s="257"/>
      <c r="E280" s="257" t="s">
        <v>8</v>
      </c>
      <c r="F280" s="245">
        <v>400000</v>
      </c>
      <c r="G280" s="246">
        <f t="shared" si="8"/>
        <v>0</v>
      </c>
      <c r="H280" s="247"/>
    </row>
    <row r="281" spans="1:8" x14ac:dyDescent="0.3">
      <c r="A281" s="1"/>
      <c r="B281" s="312"/>
      <c r="C281" s="4" t="s">
        <v>200</v>
      </c>
      <c r="D281" s="19"/>
      <c r="E281" s="19" t="s">
        <v>217</v>
      </c>
      <c r="F281" s="5"/>
      <c r="G281" s="16">
        <f t="shared" si="8"/>
        <v>0</v>
      </c>
      <c r="H281" s="6"/>
    </row>
    <row r="282" spans="1:8" x14ac:dyDescent="0.3">
      <c r="A282" s="1"/>
      <c r="B282" s="312"/>
      <c r="C282" s="239" t="s">
        <v>346</v>
      </c>
      <c r="D282" s="257"/>
      <c r="E282" s="257" t="s">
        <v>8</v>
      </c>
      <c r="F282" s="245">
        <v>1500</v>
      </c>
      <c r="G282" s="246">
        <f t="shared" si="8"/>
        <v>0</v>
      </c>
      <c r="H282" s="247"/>
    </row>
    <row r="283" spans="1:8" x14ac:dyDescent="0.3">
      <c r="A283" s="1"/>
      <c r="B283" s="312"/>
      <c r="C283" s="4" t="s">
        <v>201</v>
      </c>
      <c r="D283" s="19"/>
      <c r="E283" s="19" t="s">
        <v>139</v>
      </c>
      <c r="F283" s="5">
        <v>3000</v>
      </c>
      <c r="G283" s="16">
        <f t="shared" si="8"/>
        <v>0</v>
      </c>
      <c r="H283" s="6"/>
    </row>
    <row r="284" spans="1:8" x14ac:dyDescent="0.3">
      <c r="A284" s="1"/>
      <c r="B284" s="312"/>
      <c r="C284" s="239" t="s">
        <v>144</v>
      </c>
      <c r="D284" s="257"/>
      <c r="E284" s="257" t="s">
        <v>8</v>
      </c>
      <c r="F284" s="245">
        <v>2100</v>
      </c>
      <c r="G284" s="246">
        <f t="shared" si="8"/>
        <v>0</v>
      </c>
      <c r="H284" s="247"/>
    </row>
    <row r="285" spans="1:8" x14ac:dyDescent="0.3">
      <c r="A285" s="1"/>
      <c r="B285" s="312"/>
      <c r="C285" s="4" t="s">
        <v>145</v>
      </c>
      <c r="D285" s="19"/>
      <c r="E285" s="19" t="s">
        <v>8</v>
      </c>
      <c r="F285" s="5">
        <v>6000</v>
      </c>
      <c r="G285" s="16">
        <f t="shared" si="8"/>
        <v>0</v>
      </c>
      <c r="H285" s="6"/>
    </row>
    <row r="286" spans="1:8" x14ac:dyDescent="0.3">
      <c r="A286" s="1"/>
      <c r="B286" s="312"/>
      <c r="C286" s="239" t="s">
        <v>141</v>
      </c>
      <c r="D286" s="257"/>
      <c r="E286" s="257" t="s">
        <v>8</v>
      </c>
      <c r="F286" s="245">
        <v>50000</v>
      </c>
      <c r="G286" s="246">
        <f t="shared" si="8"/>
        <v>0</v>
      </c>
      <c r="H286" s="247"/>
    </row>
    <row r="287" spans="1:8" x14ac:dyDescent="0.3">
      <c r="A287" s="1"/>
      <c r="B287" s="312"/>
      <c r="C287" s="4" t="s">
        <v>146</v>
      </c>
      <c r="D287" s="19"/>
      <c r="E287" s="19" t="s">
        <v>8</v>
      </c>
      <c r="F287" s="5">
        <v>10000</v>
      </c>
      <c r="G287" s="16">
        <f t="shared" si="8"/>
        <v>0</v>
      </c>
      <c r="H287" s="6"/>
    </row>
    <row r="288" spans="1:8" x14ac:dyDescent="0.3">
      <c r="A288" s="1"/>
      <c r="B288" s="312"/>
      <c r="C288" s="239" t="s">
        <v>202</v>
      </c>
      <c r="D288" s="257"/>
      <c r="E288" s="257" t="s">
        <v>8</v>
      </c>
      <c r="F288" s="245">
        <v>1500</v>
      </c>
      <c r="G288" s="246">
        <f t="shared" si="8"/>
        <v>0</v>
      </c>
      <c r="H288" s="247"/>
    </row>
    <row r="289" spans="1:8" x14ac:dyDescent="0.3">
      <c r="A289" s="1"/>
      <c r="B289" s="312"/>
      <c r="C289" s="4" t="s">
        <v>138</v>
      </c>
      <c r="D289" s="19"/>
      <c r="E289" s="19" t="s">
        <v>8</v>
      </c>
      <c r="F289" s="5">
        <v>21521</v>
      </c>
      <c r="G289" s="16">
        <f t="shared" si="8"/>
        <v>0</v>
      </c>
      <c r="H289" s="6"/>
    </row>
    <row r="290" spans="1:8" x14ac:dyDescent="0.3">
      <c r="A290" s="1"/>
      <c r="B290" s="312"/>
      <c r="C290" s="239" t="s">
        <v>140</v>
      </c>
      <c r="D290" s="257"/>
      <c r="E290" s="257" t="s">
        <v>8</v>
      </c>
      <c r="F290" s="245">
        <v>14522</v>
      </c>
      <c r="G290" s="246">
        <f t="shared" si="8"/>
        <v>0</v>
      </c>
      <c r="H290" s="247"/>
    </row>
    <row r="291" spans="1:8" x14ac:dyDescent="0.3">
      <c r="A291" s="1"/>
      <c r="B291" s="312"/>
      <c r="C291" s="4" t="s">
        <v>203</v>
      </c>
      <c r="D291" s="19"/>
      <c r="E291" s="19" t="s">
        <v>8</v>
      </c>
      <c r="F291" s="5">
        <v>2500</v>
      </c>
      <c r="G291" s="16">
        <f t="shared" si="8"/>
        <v>0</v>
      </c>
      <c r="H291" s="6"/>
    </row>
    <row r="292" spans="1:8" x14ac:dyDescent="0.3">
      <c r="A292" s="1"/>
      <c r="B292" s="312"/>
      <c r="C292" s="239" t="s">
        <v>85</v>
      </c>
      <c r="D292" s="257"/>
      <c r="E292" s="257" t="s">
        <v>8</v>
      </c>
      <c r="F292" s="245">
        <v>3841</v>
      </c>
      <c r="G292" s="246">
        <f t="shared" si="8"/>
        <v>0</v>
      </c>
      <c r="H292" s="247"/>
    </row>
    <row r="293" spans="1:8" x14ac:dyDescent="0.3">
      <c r="A293" s="1"/>
      <c r="B293" s="312"/>
      <c r="C293" s="4" t="s">
        <v>86</v>
      </c>
      <c r="D293" s="19"/>
      <c r="E293" s="19" t="s">
        <v>8</v>
      </c>
      <c r="F293" s="5">
        <v>2500</v>
      </c>
      <c r="G293" s="16">
        <f t="shared" si="8"/>
        <v>0</v>
      </c>
      <c r="H293" s="6"/>
    </row>
    <row r="294" spans="1:8" ht="16.95" customHeight="1" x14ac:dyDescent="0.3">
      <c r="A294" s="1"/>
      <c r="B294" s="312"/>
      <c r="C294" s="239" t="s">
        <v>127</v>
      </c>
      <c r="D294" s="257"/>
      <c r="E294" s="257" t="s">
        <v>8</v>
      </c>
      <c r="F294" s="245">
        <v>5000</v>
      </c>
      <c r="G294" s="246">
        <f t="shared" si="8"/>
        <v>0</v>
      </c>
      <c r="H294" s="247"/>
    </row>
    <row r="295" spans="1:8" x14ac:dyDescent="0.3">
      <c r="A295" s="1"/>
      <c r="B295" s="312"/>
      <c r="C295" s="4" t="s">
        <v>87</v>
      </c>
      <c r="D295" s="19"/>
      <c r="E295" s="19" t="s">
        <v>8</v>
      </c>
      <c r="F295" s="5">
        <v>15000</v>
      </c>
      <c r="G295" s="16">
        <f t="shared" si="8"/>
        <v>0</v>
      </c>
      <c r="H295" s="6"/>
    </row>
    <row r="296" spans="1:8" x14ac:dyDescent="0.3">
      <c r="A296" s="1"/>
      <c r="B296" s="312"/>
      <c r="C296" s="239" t="s">
        <v>88</v>
      </c>
      <c r="D296" s="257"/>
      <c r="E296" s="257" t="s">
        <v>8</v>
      </c>
      <c r="F296" s="245">
        <v>13254</v>
      </c>
      <c r="G296" s="246">
        <f t="shared" si="8"/>
        <v>0</v>
      </c>
      <c r="H296" s="247"/>
    </row>
    <row r="297" spans="1:8" x14ac:dyDescent="0.3">
      <c r="A297" s="1"/>
      <c r="B297" s="312"/>
      <c r="C297" s="4" t="s">
        <v>89</v>
      </c>
      <c r="D297" s="19"/>
      <c r="E297" s="19" t="s">
        <v>8</v>
      </c>
      <c r="F297" s="5">
        <v>5624</v>
      </c>
      <c r="G297" s="16">
        <f t="shared" si="8"/>
        <v>0</v>
      </c>
      <c r="H297" s="6"/>
    </row>
    <row r="298" spans="1:8" x14ac:dyDescent="0.3">
      <c r="A298" s="1"/>
      <c r="B298" s="312"/>
      <c r="C298" s="239" t="s">
        <v>90</v>
      </c>
      <c r="D298" s="257"/>
      <c r="E298" s="257" t="s">
        <v>8</v>
      </c>
      <c r="F298" s="245">
        <v>5624</v>
      </c>
      <c r="G298" s="246">
        <f t="shared" si="8"/>
        <v>0</v>
      </c>
      <c r="H298" s="247"/>
    </row>
    <row r="299" spans="1:8" x14ac:dyDescent="0.3">
      <c r="A299" s="1"/>
      <c r="B299" s="312"/>
      <c r="C299" s="4" t="s">
        <v>91</v>
      </c>
      <c r="D299" s="19"/>
      <c r="E299" s="19" t="s">
        <v>8</v>
      </c>
      <c r="F299" s="5">
        <v>1889</v>
      </c>
      <c r="G299" s="16">
        <f t="shared" si="8"/>
        <v>0</v>
      </c>
      <c r="H299" s="6"/>
    </row>
    <row r="300" spans="1:8" x14ac:dyDescent="0.3">
      <c r="A300" s="1"/>
      <c r="B300" s="312"/>
      <c r="C300" s="239" t="s">
        <v>128</v>
      </c>
      <c r="D300" s="257"/>
      <c r="E300" s="257" t="s">
        <v>8</v>
      </c>
      <c r="F300" s="245">
        <v>14079</v>
      </c>
      <c r="G300" s="246">
        <f t="shared" si="8"/>
        <v>0</v>
      </c>
      <c r="H300" s="247"/>
    </row>
    <row r="301" spans="1:8" x14ac:dyDescent="0.3">
      <c r="A301" s="1"/>
      <c r="B301" s="312"/>
      <c r="C301" s="4" t="s">
        <v>92</v>
      </c>
      <c r="D301" s="19"/>
      <c r="E301" s="19" t="s">
        <v>8</v>
      </c>
      <c r="F301" s="5">
        <v>2212</v>
      </c>
      <c r="G301" s="16">
        <f t="shared" si="8"/>
        <v>0</v>
      </c>
      <c r="H301" s="6"/>
    </row>
    <row r="302" spans="1:8" x14ac:dyDescent="0.3">
      <c r="A302" s="1"/>
      <c r="B302" s="312"/>
      <c r="C302" s="239" t="s">
        <v>204</v>
      </c>
      <c r="D302" s="257"/>
      <c r="E302" s="257" t="s">
        <v>8</v>
      </c>
      <c r="F302" s="245">
        <v>3300</v>
      </c>
      <c r="G302" s="246">
        <f t="shared" si="8"/>
        <v>0</v>
      </c>
      <c r="H302" s="247"/>
    </row>
    <row r="303" spans="1:8" x14ac:dyDescent="0.3">
      <c r="A303" s="1"/>
      <c r="B303" s="312"/>
      <c r="C303" s="4" t="s">
        <v>93</v>
      </c>
      <c r="D303" s="19"/>
      <c r="E303" s="19" t="s">
        <v>8</v>
      </c>
      <c r="F303" s="5">
        <v>1100</v>
      </c>
      <c r="G303" s="16">
        <f t="shared" si="8"/>
        <v>0</v>
      </c>
      <c r="H303" s="6"/>
    </row>
    <row r="304" spans="1:8" x14ac:dyDescent="0.3">
      <c r="A304" s="1"/>
      <c r="B304" s="312"/>
      <c r="C304" s="239" t="s">
        <v>94</v>
      </c>
      <c r="D304" s="257"/>
      <c r="E304" s="257" t="s">
        <v>8</v>
      </c>
      <c r="F304" s="245">
        <v>30</v>
      </c>
      <c r="G304" s="246">
        <f t="shared" si="8"/>
        <v>0</v>
      </c>
      <c r="H304" s="247"/>
    </row>
    <row r="305" spans="1:8" x14ac:dyDescent="0.3">
      <c r="A305" s="1"/>
      <c r="B305" s="312"/>
      <c r="C305" s="4" t="s">
        <v>95</v>
      </c>
      <c r="D305" s="19"/>
      <c r="E305" s="19" t="s">
        <v>8</v>
      </c>
      <c r="F305" s="5">
        <v>20</v>
      </c>
      <c r="G305" s="16">
        <f t="shared" si="8"/>
        <v>0</v>
      </c>
      <c r="H305" s="6"/>
    </row>
    <row r="306" spans="1:8" x14ac:dyDescent="0.3">
      <c r="A306" s="1"/>
      <c r="B306" s="312"/>
      <c r="C306" s="239" t="s">
        <v>96</v>
      </c>
      <c r="D306" s="257"/>
      <c r="E306" s="257" t="s">
        <v>8</v>
      </c>
      <c r="F306" s="245">
        <v>400</v>
      </c>
      <c r="G306" s="246">
        <f t="shared" si="8"/>
        <v>0</v>
      </c>
      <c r="H306" s="247"/>
    </row>
    <row r="307" spans="1:8" x14ac:dyDescent="0.3">
      <c r="A307" s="1"/>
      <c r="B307" s="312"/>
      <c r="C307" s="4" t="s">
        <v>97</v>
      </c>
      <c r="D307" s="19"/>
      <c r="E307" s="19" t="s">
        <v>8</v>
      </c>
      <c r="F307" s="5">
        <v>4000</v>
      </c>
      <c r="G307" s="16">
        <f t="shared" si="8"/>
        <v>0</v>
      </c>
      <c r="H307" s="6"/>
    </row>
    <row r="308" spans="1:8" x14ac:dyDescent="0.3">
      <c r="A308" s="1"/>
      <c r="B308" s="312"/>
      <c r="C308" s="239" t="s">
        <v>98</v>
      </c>
      <c r="D308" s="257"/>
      <c r="E308" s="257" t="s">
        <v>8</v>
      </c>
      <c r="F308" s="245">
        <v>3000</v>
      </c>
      <c r="G308" s="246">
        <f t="shared" si="8"/>
        <v>0</v>
      </c>
      <c r="H308" s="247"/>
    </row>
    <row r="309" spans="1:8" x14ac:dyDescent="0.3">
      <c r="A309" s="1"/>
      <c r="B309" s="312"/>
      <c r="C309" s="4" t="s">
        <v>97</v>
      </c>
      <c r="D309" s="19"/>
      <c r="E309" s="19" t="s">
        <v>8</v>
      </c>
      <c r="F309" s="5">
        <v>4000</v>
      </c>
      <c r="G309" s="16">
        <f t="shared" si="8"/>
        <v>0</v>
      </c>
      <c r="H309" s="6"/>
    </row>
    <row r="310" spans="1:8" x14ac:dyDescent="0.3">
      <c r="A310" s="1"/>
      <c r="B310" s="312"/>
      <c r="C310" s="239" t="s">
        <v>99</v>
      </c>
      <c r="D310" s="257"/>
      <c r="E310" s="257" t="s">
        <v>8</v>
      </c>
      <c r="F310" s="245">
        <v>3000</v>
      </c>
      <c r="G310" s="246">
        <f t="shared" si="8"/>
        <v>0</v>
      </c>
      <c r="H310" s="247"/>
    </row>
    <row r="311" spans="1:8" x14ac:dyDescent="0.3">
      <c r="A311" s="1"/>
      <c r="B311" s="312"/>
      <c r="C311" s="4" t="s">
        <v>100</v>
      </c>
      <c r="D311" s="19"/>
      <c r="E311" s="19" t="s">
        <v>8</v>
      </c>
      <c r="F311" s="5">
        <v>2100</v>
      </c>
      <c r="G311" s="16">
        <f t="shared" si="8"/>
        <v>0</v>
      </c>
      <c r="H311" s="6"/>
    </row>
    <row r="312" spans="1:8" x14ac:dyDescent="0.3">
      <c r="A312" s="1"/>
      <c r="B312" s="312"/>
      <c r="C312" s="239" t="s">
        <v>101</v>
      </c>
      <c r="D312" s="257"/>
      <c r="E312" s="257" t="s">
        <v>8</v>
      </c>
      <c r="F312" s="245">
        <v>2500</v>
      </c>
      <c r="G312" s="246">
        <f t="shared" si="8"/>
        <v>0</v>
      </c>
      <c r="H312" s="247"/>
    </row>
    <row r="313" spans="1:8" x14ac:dyDescent="0.3">
      <c r="A313" s="1"/>
      <c r="B313" s="312"/>
      <c r="C313" s="4" t="s">
        <v>102</v>
      </c>
      <c r="D313" s="19"/>
      <c r="E313" s="19" t="s">
        <v>8</v>
      </c>
      <c r="F313" s="5">
        <v>3000</v>
      </c>
      <c r="G313" s="16">
        <f t="shared" si="8"/>
        <v>0</v>
      </c>
      <c r="H313" s="6"/>
    </row>
    <row r="314" spans="1:8" x14ac:dyDescent="0.3">
      <c r="A314" s="1"/>
      <c r="B314" s="312"/>
      <c r="C314" s="239" t="s">
        <v>205</v>
      </c>
      <c r="D314" s="257"/>
      <c r="E314" s="257" t="s">
        <v>8</v>
      </c>
      <c r="F314" s="245">
        <v>15000</v>
      </c>
      <c r="G314" s="246">
        <f t="shared" si="8"/>
        <v>0</v>
      </c>
      <c r="H314" s="247"/>
    </row>
    <row r="315" spans="1:8" x14ac:dyDescent="0.3">
      <c r="A315" s="1"/>
      <c r="B315" s="312"/>
      <c r="C315" s="4" t="s">
        <v>103</v>
      </c>
      <c r="D315" s="19"/>
      <c r="E315" s="19" t="s">
        <v>8</v>
      </c>
      <c r="F315" s="5">
        <v>39690</v>
      </c>
      <c r="G315" s="16">
        <f t="shared" si="8"/>
        <v>0</v>
      </c>
      <c r="H315" s="6"/>
    </row>
    <row r="316" spans="1:8" ht="15" thickBot="1" x14ac:dyDescent="0.35">
      <c r="A316" s="1"/>
      <c r="B316" s="312"/>
      <c r="C316" s="239" t="s">
        <v>104</v>
      </c>
      <c r="D316" s="257"/>
      <c r="E316" s="257" t="s">
        <v>8</v>
      </c>
      <c r="F316" s="256">
        <v>1200</v>
      </c>
      <c r="G316" s="246">
        <f>F316*D316</f>
        <v>0</v>
      </c>
      <c r="H316" s="247"/>
    </row>
    <row r="317" spans="1:8" x14ac:dyDescent="0.3">
      <c r="A317" s="1"/>
      <c r="B317" s="318" t="s">
        <v>206</v>
      </c>
      <c r="C317" s="30" t="s">
        <v>207</v>
      </c>
      <c r="D317" s="18"/>
      <c r="E317" s="18" t="s">
        <v>8</v>
      </c>
      <c r="F317" s="27">
        <v>825000</v>
      </c>
      <c r="G317" s="15">
        <f>F317*D317</f>
        <v>0</v>
      </c>
      <c r="H317" s="3"/>
    </row>
    <row r="318" spans="1:8" x14ac:dyDescent="0.3">
      <c r="A318" s="1"/>
      <c r="B318" s="319"/>
      <c r="C318" s="251" t="s">
        <v>290</v>
      </c>
      <c r="D318" s="257"/>
      <c r="E318" s="257" t="s">
        <v>139</v>
      </c>
      <c r="F318" s="245">
        <v>350000</v>
      </c>
      <c r="G318" s="246">
        <f t="shared" ref="G318:G329" si="9">F318*D318</f>
        <v>0</v>
      </c>
      <c r="H318" s="247"/>
    </row>
    <row r="319" spans="1:8" x14ac:dyDescent="0.3">
      <c r="A319" s="1"/>
      <c r="B319" s="319"/>
      <c r="C319" s="31" t="s">
        <v>208</v>
      </c>
      <c r="D319" s="19"/>
      <c r="E319" s="19" t="s">
        <v>8</v>
      </c>
      <c r="F319" s="5">
        <v>200000</v>
      </c>
      <c r="G319" s="16">
        <f t="shared" si="9"/>
        <v>0</v>
      </c>
      <c r="H319" s="6"/>
    </row>
    <row r="320" spans="1:8" x14ac:dyDescent="0.3">
      <c r="A320" s="1"/>
      <c r="B320" s="319"/>
      <c r="C320" s="251" t="s">
        <v>209</v>
      </c>
      <c r="D320" s="257"/>
      <c r="E320" s="257" t="s">
        <v>8</v>
      </c>
      <c r="F320" s="245">
        <v>150000</v>
      </c>
      <c r="G320" s="246">
        <f t="shared" si="9"/>
        <v>0</v>
      </c>
      <c r="H320" s="247"/>
    </row>
    <row r="321" spans="1:8" x14ac:dyDescent="0.3">
      <c r="A321" s="1"/>
      <c r="B321" s="319"/>
      <c r="C321" s="31" t="s">
        <v>210</v>
      </c>
      <c r="D321" s="19"/>
      <c r="E321" s="19" t="s">
        <v>8</v>
      </c>
      <c r="F321" s="5">
        <v>57288</v>
      </c>
      <c r="G321" s="16">
        <f t="shared" si="9"/>
        <v>0</v>
      </c>
      <c r="H321" s="6"/>
    </row>
    <row r="322" spans="1:8" x14ac:dyDescent="0.3">
      <c r="A322" s="1"/>
      <c r="B322" s="319"/>
      <c r="C322" s="251" t="s">
        <v>211</v>
      </c>
      <c r="D322" s="257"/>
      <c r="E322" s="257" t="s">
        <v>8</v>
      </c>
      <c r="F322" s="245">
        <v>300000</v>
      </c>
      <c r="G322" s="246">
        <f t="shared" si="9"/>
        <v>0</v>
      </c>
      <c r="H322" s="247"/>
    </row>
    <row r="323" spans="1:8" x14ac:dyDescent="0.3">
      <c r="A323" s="1"/>
      <c r="B323" s="319"/>
      <c r="C323" s="31" t="s">
        <v>212</v>
      </c>
      <c r="D323" s="19"/>
      <c r="E323" s="19" t="s">
        <v>8</v>
      </c>
      <c r="F323" s="5">
        <v>665000</v>
      </c>
      <c r="G323" s="16">
        <f t="shared" si="9"/>
        <v>0</v>
      </c>
      <c r="H323" s="6"/>
    </row>
    <row r="324" spans="1:8" x14ac:dyDescent="0.3">
      <c r="A324" s="1"/>
      <c r="B324" s="319"/>
      <c r="C324" s="251" t="s">
        <v>213</v>
      </c>
      <c r="D324" s="257"/>
      <c r="E324" s="257" t="s">
        <v>8</v>
      </c>
      <c r="F324" s="245">
        <v>400000</v>
      </c>
      <c r="G324" s="246">
        <f t="shared" si="9"/>
        <v>0</v>
      </c>
      <c r="H324" s="247"/>
    </row>
    <row r="325" spans="1:8" x14ac:dyDescent="0.3">
      <c r="A325" s="1"/>
      <c r="B325" s="319"/>
      <c r="C325" s="31" t="s">
        <v>289</v>
      </c>
      <c r="D325" s="19"/>
      <c r="E325" s="19" t="s">
        <v>8</v>
      </c>
      <c r="F325" s="5">
        <v>200000</v>
      </c>
      <c r="G325" s="16">
        <f t="shared" si="9"/>
        <v>0</v>
      </c>
      <c r="H325" s="6"/>
    </row>
    <row r="326" spans="1:8" x14ac:dyDescent="0.3">
      <c r="A326" s="1"/>
      <c r="B326" s="319"/>
      <c r="C326" s="251" t="s">
        <v>214</v>
      </c>
      <c r="D326" s="257"/>
      <c r="E326" s="257" t="s">
        <v>8</v>
      </c>
      <c r="F326" s="245">
        <v>450000</v>
      </c>
      <c r="G326" s="246">
        <f t="shared" si="9"/>
        <v>0</v>
      </c>
      <c r="H326" s="247"/>
    </row>
    <row r="327" spans="1:8" x14ac:dyDescent="0.3">
      <c r="A327" s="1"/>
      <c r="B327" s="319"/>
      <c r="C327" s="31" t="s">
        <v>215</v>
      </c>
      <c r="D327" s="19"/>
      <c r="E327" s="19" t="s">
        <v>8</v>
      </c>
      <c r="F327" s="5">
        <v>150000</v>
      </c>
      <c r="G327" s="16">
        <f t="shared" si="9"/>
        <v>0</v>
      </c>
      <c r="H327" s="6"/>
    </row>
    <row r="328" spans="1:8" ht="15" thickBot="1" x14ac:dyDescent="0.35">
      <c r="A328" s="1"/>
      <c r="B328" s="319"/>
      <c r="C328" s="32" t="s">
        <v>216</v>
      </c>
      <c r="D328" s="20"/>
      <c r="E328" s="35" t="s">
        <v>8</v>
      </c>
      <c r="F328" s="28">
        <v>45000</v>
      </c>
      <c r="G328" s="17">
        <f t="shared" si="9"/>
        <v>0</v>
      </c>
      <c r="H328" s="6"/>
    </row>
    <row r="329" spans="1:8" x14ac:dyDescent="0.3">
      <c r="A329" s="1"/>
      <c r="B329" s="320" t="s">
        <v>105</v>
      </c>
      <c r="C329" s="252" t="s">
        <v>106</v>
      </c>
      <c r="D329" s="261"/>
      <c r="E329" s="261" t="s">
        <v>8</v>
      </c>
      <c r="F329" s="241">
        <v>3500</v>
      </c>
      <c r="G329" s="242">
        <f t="shared" si="9"/>
        <v>0</v>
      </c>
      <c r="H329" s="243"/>
    </row>
    <row r="330" spans="1:8" x14ac:dyDescent="0.3">
      <c r="A330" s="1"/>
      <c r="B330" s="321"/>
      <c r="C330" s="253" t="s">
        <v>107</v>
      </c>
      <c r="D330" s="19"/>
      <c r="E330" s="19" t="s">
        <v>8</v>
      </c>
      <c r="F330" s="5">
        <v>2500</v>
      </c>
      <c r="G330" s="16">
        <f>F330*D330</f>
        <v>0</v>
      </c>
      <c r="H330" s="6"/>
    </row>
    <row r="331" spans="1:8" x14ac:dyDescent="0.3">
      <c r="A331" s="1"/>
      <c r="B331" s="321"/>
      <c r="C331" s="254" t="s">
        <v>108</v>
      </c>
      <c r="D331" s="257"/>
      <c r="E331" s="257" t="s">
        <v>8</v>
      </c>
      <c r="F331" s="245">
        <v>3200</v>
      </c>
      <c r="G331" s="246">
        <f>F331*D331</f>
        <v>0</v>
      </c>
      <c r="H331" s="266"/>
    </row>
    <row r="332" spans="1:8" x14ac:dyDescent="0.3">
      <c r="A332" s="1"/>
      <c r="B332" s="321"/>
      <c r="C332" s="253" t="s">
        <v>109</v>
      </c>
      <c r="D332" s="19"/>
      <c r="E332" s="19" t="s">
        <v>8</v>
      </c>
      <c r="F332" s="5">
        <v>6000</v>
      </c>
      <c r="G332" s="16">
        <f>F332*D332</f>
        <v>0</v>
      </c>
      <c r="H332" s="6"/>
    </row>
    <row r="333" spans="1:8" x14ac:dyDescent="0.3">
      <c r="A333" s="1"/>
      <c r="B333" s="321"/>
      <c r="C333" s="254" t="s">
        <v>110</v>
      </c>
      <c r="D333" s="257"/>
      <c r="E333" s="257" t="s">
        <v>8</v>
      </c>
      <c r="F333" s="245">
        <v>500</v>
      </c>
      <c r="G333" s="246">
        <f t="shared" ref="G333:G350" si="10">F333*D333</f>
        <v>0</v>
      </c>
      <c r="H333" s="266"/>
    </row>
    <row r="334" spans="1:8" x14ac:dyDescent="0.3">
      <c r="A334" s="1"/>
      <c r="B334" s="321"/>
      <c r="C334" s="253" t="s">
        <v>111</v>
      </c>
      <c r="D334" s="19"/>
      <c r="E334" s="19" t="s">
        <v>8</v>
      </c>
      <c r="F334" s="5">
        <v>3000</v>
      </c>
      <c r="G334" s="16">
        <f t="shared" si="10"/>
        <v>0</v>
      </c>
      <c r="H334" s="6"/>
    </row>
    <row r="335" spans="1:8" x14ac:dyDescent="0.3">
      <c r="A335" s="1"/>
      <c r="B335" s="321"/>
      <c r="C335" s="254" t="s">
        <v>112</v>
      </c>
      <c r="D335" s="257"/>
      <c r="E335" s="257" t="s">
        <v>8</v>
      </c>
      <c r="F335" s="245">
        <v>3000</v>
      </c>
      <c r="G335" s="246">
        <f t="shared" si="10"/>
        <v>0</v>
      </c>
      <c r="H335" s="266"/>
    </row>
    <row r="336" spans="1:8" x14ac:dyDescent="0.3">
      <c r="A336" s="1"/>
      <c r="B336" s="321"/>
      <c r="C336" s="253" t="s">
        <v>113</v>
      </c>
      <c r="D336" s="19"/>
      <c r="E336" s="19" t="s">
        <v>8</v>
      </c>
      <c r="F336" s="5">
        <v>16000</v>
      </c>
      <c r="G336" s="16">
        <f t="shared" si="10"/>
        <v>0</v>
      </c>
      <c r="H336" s="6"/>
    </row>
    <row r="337" spans="1:8" x14ac:dyDescent="0.3">
      <c r="A337" s="1"/>
      <c r="B337" s="321"/>
      <c r="C337" s="254" t="s">
        <v>114</v>
      </c>
      <c r="D337" s="257"/>
      <c r="E337" s="257" t="s">
        <v>8</v>
      </c>
      <c r="F337" s="245">
        <v>1500</v>
      </c>
      <c r="G337" s="246">
        <f t="shared" si="10"/>
        <v>0</v>
      </c>
      <c r="H337" s="266"/>
    </row>
    <row r="338" spans="1:8" x14ac:dyDescent="0.3">
      <c r="A338" s="1"/>
      <c r="B338" s="321"/>
      <c r="C338" s="253" t="s">
        <v>115</v>
      </c>
      <c r="D338" s="19"/>
      <c r="E338" s="19" t="s">
        <v>8</v>
      </c>
      <c r="F338" s="5">
        <v>4000</v>
      </c>
      <c r="G338" s="16">
        <f t="shared" si="10"/>
        <v>0</v>
      </c>
      <c r="H338" s="6"/>
    </row>
    <row r="339" spans="1:8" x14ac:dyDescent="0.3">
      <c r="A339" s="1"/>
      <c r="B339" s="321"/>
      <c r="C339" s="254" t="s">
        <v>116</v>
      </c>
      <c r="D339" s="257"/>
      <c r="E339" s="257" t="s">
        <v>8</v>
      </c>
      <c r="F339" s="245">
        <v>15000</v>
      </c>
      <c r="G339" s="246">
        <f t="shared" si="10"/>
        <v>0</v>
      </c>
      <c r="H339" s="266"/>
    </row>
    <row r="340" spans="1:8" x14ac:dyDescent="0.3">
      <c r="A340" s="1"/>
      <c r="B340" s="321"/>
      <c r="C340" s="253" t="s">
        <v>117</v>
      </c>
      <c r="D340" s="19"/>
      <c r="E340" s="19" t="s">
        <v>8</v>
      </c>
      <c r="F340" s="5">
        <v>250000</v>
      </c>
      <c r="G340" s="16">
        <f t="shared" si="10"/>
        <v>0</v>
      </c>
      <c r="H340" s="6"/>
    </row>
    <row r="341" spans="1:8" x14ac:dyDescent="0.3">
      <c r="A341" s="1"/>
      <c r="B341" s="321"/>
      <c r="C341" s="254" t="s">
        <v>118</v>
      </c>
      <c r="D341" s="257"/>
      <c r="E341" s="257" t="s">
        <v>8</v>
      </c>
      <c r="F341" s="245">
        <v>3000</v>
      </c>
      <c r="G341" s="246">
        <f t="shared" si="10"/>
        <v>0</v>
      </c>
      <c r="H341" s="266"/>
    </row>
    <row r="342" spans="1:8" x14ac:dyDescent="0.3">
      <c r="A342" s="1"/>
      <c r="B342" s="321"/>
      <c r="C342" s="253" t="s">
        <v>119</v>
      </c>
      <c r="D342" s="19"/>
      <c r="E342" s="19" t="s">
        <v>8</v>
      </c>
      <c r="F342" s="5">
        <v>3000</v>
      </c>
      <c r="G342" s="16">
        <f t="shared" si="10"/>
        <v>0</v>
      </c>
      <c r="H342" s="6"/>
    </row>
    <row r="343" spans="1:8" x14ac:dyDescent="0.3">
      <c r="A343" s="1"/>
      <c r="B343" s="321"/>
      <c r="C343" s="254" t="s">
        <v>120</v>
      </c>
      <c r="D343" s="257"/>
      <c r="E343" s="257" t="s">
        <v>8</v>
      </c>
      <c r="F343" s="245">
        <v>5000</v>
      </c>
      <c r="G343" s="246">
        <f t="shared" si="10"/>
        <v>0</v>
      </c>
      <c r="H343" s="266"/>
    </row>
    <row r="344" spans="1:8" x14ac:dyDescent="0.3">
      <c r="A344" s="1"/>
      <c r="B344" s="321"/>
      <c r="C344" s="253" t="s">
        <v>121</v>
      </c>
      <c r="D344" s="19"/>
      <c r="E344" s="19" t="s">
        <v>8</v>
      </c>
      <c r="F344" s="5">
        <v>3500</v>
      </c>
      <c r="G344" s="16">
        <f t="shared" si="10"/>
        <v>0</v>
      </c>
      <c r="H344" s="6"/>
    </row>
    <row r="345" spans="1:8" x14ac:dyDescent="0.3">
      <c r="A345" s="1"/>
      <c r="B345" s="321"/>
      <c r="C345" s="254" t="s">
        <v>122</v>
      </c>
      <c r="D345" s="257"/>
      <c r="E345" s="257" t="s">
        <v>8</v>
      </c>
      <c r="F345" s="245">
        <v>140000</v>
      </c>
      <c r="G345" s="246">
        <f t="shared" si="10"/>
        <v>0</v>
      </c>
      <c r="H345" s="266"/>
    </row>
    <row r="346" spans="1:8" x14ac:dyDescent="0.3">
      <c r="A346" s="1"/>
      <c r="B346" s="321"/>
      <c r="C346" s="253" t="s">
        <v>123</v>
      </c>
      <c r="D346" s="19"/>
      <c r="E346" s="19" t="s">
        <v>8</v>
      </c>
      <c r="F346" s="5">
        <v>200000</v>
      </c>
      <c r="G346" s="16">
        <f t="shared" si="10"/>
        <v>0</v>
      </c>
      <c r="H346" s="6"/>
    </row>
    <row r="347" spans="1:8" x14ac:dyDescent="0.3">
      <c r="A347" s="1"/>
      <c r="B347" s="321"/>
      <c r="C347" s="254" t="s">
        <v>124</v>
      </c>
      <c r="D347" s="257"/>
      <c r="E347" s="257" t="s">
        <v>13</v>
      </c>
      <c r="F347" s="245">
        <v>1000</v>
      </c>
      <c r="G347" s="246">
        <f t="shared" si="10"/>
        <v>0</v>
      </c>
      <c r="H347" s="266"/>
    </row>
    <row r="348" spans="1:8" x14ac:dyDescent="0.3">
      <c r="A348" s="1"/>
      <c r="B348" s="321"/>
      <c r="C348" s="253" t="s">
        <v>125</v>
      </c>
      <c r="D348" s="19"/>
      <c r="E348" s="19" t="s">
        <v>8</v>
      </c>
      <c r="F348" s="5">
        <v>30000</v>
      </c>
      <c r="G348" s="16">
        <f t="shared" si="10"/>
        <v>0</v>
      </c>
      <c r="H348" s="6"/>
    </row>
    <row r="349" spans="1:8" x14ac:dyDescent="0.3">
      <c r="A349" s="1"/>
      <c r="B349" s="321"/>
      <c r="C349" s="254" t="s">
        <v>126</v>
      </c>
      <c r="D349" s="257"/>
      <c r="E349" s="257" t="s">
        <v>8</v>
      </c>
      <c r="F349" s="245">
        <v>40000</v>
      </c>
      <c r="G349" s="246">
        <f t="shared" si="10"/>
        <v>0</v>
      </c>
      <c r="H349" s="266"/>
    </row>
    <row r="350" spans="1:8" ht="15" thickBot="1" x14ac:dyDescent="0.35">
      <c r="A350" s="1"/>
      <c r="B350" s="322"/>
      <c r="C350" s="255" t="s">
        <v>117</v>
      </c>
      <c r="D350" s="20"/>
      <c r="E350" s="20" t="s">
        <v>8</v>
      </c>
      <c r="F350" s="28">
        <v>30000</v>
      </c>
      <c r="G350" s="17">
        <f t="shared" si="10"/>
        <v>0</v>
      </c>
      <c r="H350" s="7"/>
    </row>
    <row r="351" spans="1:8" ht="15" thickBot="1" x14ac:dyDescent="0.35">
      <c r="B351" s="274"/>
      <c r="E351" s="2"/>
      <c r="F351" s="39"/>
      <c r="G351" s="40"/>
      <c r="H351" s="2"/>
    </row>
    <row r="352" spans="1:8" ht="15" thickBot="1" x14ac:dyDescent="0.35">
      <c r="B352" s="314" t="s">
        <v>230</v>
      </c>
      <c r="C352" s="315"/>
      <c r="E352" s="2"/>
      <c r="F352" s="323" t="s">
        <v>258</v>
      </c>
      <c r="G352" s="324"/>
    </row>
    <row r="353" spans="1:8" ht="15" customHeight="1" x14ac:dyDescent="0.4">
      <c r="A353" s="45"/>
      <c r="B353" s="286" t="s">
        <v>231</v>
      </c>
      <c r="C353" s="111"/>
      <c r="D353" s="45"/>
      <c r="F353" s="92" t="s">
        <v>259</v>
      </c>
      <c r="G353" s="93">
        <f>SUM(G8:G328)</f>
        <v>0</v>
      </c>
    </row>
    <row r="354" spans="1:8" x14ac:dyDescent="0.3">
      <c r="A354" s="39"/>
      <c r="B354" s="287" t="s">
        <v>232</v>
      </c>
      <c r="C354" s="112"/>
      <c r="D354" s="40"/>
      <c r="F354" s="94" t="s">
        <v>260</v>
      </c>
      <c r="G354" s="95">
        <v>0.1</v>
      </c>
    </row>
    <row r="355" spans="1:8" ht="15" customHeight="1" thickBot="1" x14ac:dyDescent="0.35">
      <c r="A355" s="39"/>
      <c r="B355" s="288" t="s">
        <v>294</v>
      </c>
      <c r="C355" s="128"/>
      <c r="D355" s="42"/>
      <c r="F355" s="94" t="s">
        <v>275</v>
      </c>
      <c r="G355" s="96">
        <f>SUM(G353*G354)</f>
        <v>0</v>
      </c>
    </row>
    <row r="356" spans="1:8" ht="15" thickBot="1" x14ac:dyDescent="0.35">
      <c r="B356" s="289" t="s">
        <v>233</v>
      </c>
      <c r="C356" s="114">
        <f>SUM(C355/21*C353*C354)</f>
        <v>0</v>
      </c>
      <c r="D356"/>
      <c r="F356" s="97" t="s">
        <v>258</v>
      </c>
      <c r="G356" s="118">
        <f>SUM(G353+G355)</f>
        <v>0</v>
      </c>
    </row>
    <row r="357" spans="1:8" ht="15" thickBot="1" x14ac:dyDescent="0.35">
      <c r="A357" s="2"/>
      <c r="B357" s="273"/>
      <c r="C357" s="84"/>
      <c r="D357" s="40"/>
      <c r="F357" s="84"/>
      <c r="G357" s="84"/>
    </row>
    <row r="358" spans="1:8" ht="15" thickBot="1" x14ac:dyDescent="0.35">
      <c r="A358" s="2"/>
      <c r="B358" s="314" t="s">
        <v>237</v>
      </c>
      <c r="C358" s="315"/>
      <c r="D358" s="40"/>
      <c r="F358" s="323" t="s">
        <v>261</v>
      </c>
      <c r="G358" s="324"/>
    </row>
    <row r="359" spans="1:8" ht="15" thickBot="1" x14ac:dyDescent="0.35">
      <c r="B359" s="289" t="s">
        <v>237</v>
      </c>
      <c r="C359" s="114"/>
      <c r="D359"/>
      <c r="F359" s="99" t="s">
        <v>266</v>
      </c>
      <c r="G359" s="100">
        <f>SUM(G329:G350)</f>
        <v>0</v>
      </c>
    </row>
    <row r="360" spans="1:8" ht="15" thickBot="1" x14ac:dyDescent="0.35">
      <c r="B360" s="273"/>
      <c r="C360" s="115"/>
      <c r="D360"/>
      <c r="F360" s="101"/>
      <c r="G360" s="101"/>
    </row>
    <row r="361" spans="1:8" ht="15" thickBot="1" x14ac:dyDescent="0.35">
      <c r="A361" s="2"/>
      <c r="B361" s="314" t="s">
        <v>288</v>
      </c>
      <c r="C361" s="315"/>
      <c r="D361" s="40" t="s">
        <v>1283</v>
      </c>
      <c r="F361" s="298" t="s">
        <v>262</v>
      </c>
      <c r="G361" s="297"/>
      <c r="H361" s="2"/>
    </row>
    <row r="362" spans="1:8" x14ac:dyDescent="0.3">
      <c r="A362" s="2"/>
      <c r="B362" s="286" t="s">
        <v>234</v>
      </c>
      <c r="C362" s="110"/>
      <c r="D362" s="40" t="s">
        <v>1282</v>
      </c>
      <c r="F362" s="92" t="s">
        <v>230</v>
      </c>
      <c r="G362" s="102">
        <f>SUM(C356)</f>
        <v>0</v>
      </c>
      <c r="H362" s="40"/>
    </row>
    <row r="363" spans="1:8" ht="15" thickBot="1" x14ac:dyDescent="0.35">
      <c r="A363" s="2"/>
      <c r="B363" s="288" t="s">
        <v>235</v>
      </c>
      <c r="C363" s="113"/>
      <c r="D363" s="40"/>
      <c r="F363" s="87" t="s">
        <v>263</v>
      </c>
      <c r="G363" s="96">
        <f>SUM(C359)</f>
        <v>0</v>
      </c>
      <c r="H363" s="2"/>
    </row>
    <row r="364" spans="1:8" ht="15" thickBot="1" x14ac:dyDescent="0.35">
      <c r="A364" s="41"/>
      <c r="B364" s="289" t="s">
        <v>236</v>
      </c>
      <c r="C364" s="114">
        <f t="array" ref="C364">SUM((C362:C363)*C353*C354)</f>
        <v>0</v>
      </c>
      <c r="D364" s="40"/>
      <c r="F364" s="87" t="s">
        <v>238</v>
      </c>
      <c r="G364" s="103">
        <f>SUM(C364)</f>
        <v>0</v>
      </c>
      <c r="H364" s="40"/>
    </row>
    <row r="365" spans="1:8" ht="15" thickBot="1" x14ac:dyDescent="0.35">
      <c r="B365" s="273"/>
      <c r="C365" s="84"/>
      <c r="D365" s="42"/>
      <c r="F365" s="87" t="s">
        <v>264</v>
      </c>
      <c r="G365" s="96">
        <f>SUM(C373)</f>
        <v>0</v>
      </c>
      <c r="H365" s="40"/>
    </row>
    <row r="366" spans="1:8" ht="15" thickBot="1" x14ac:dyDescent="0.35">
      <c r="A366" s="43"/>
      <c r="B366" s="314" t="s">
        <v>248</v>
      </c>
      <c r="C366" s="315"/>
      <c r="D366" s="42"/>
      <c r="F366" s="87" t="s">
        <v>246</v>
      </c>
      <c r="G366" s="103">
        <f>SUM(C378)</f>
        <v>0</v>
      </c>
    </row>
    <row r="367" spans="1:8" x14ac:dyDescent="0.3">
      <c r="B367" s="286" t="s">
        <v>240</v>
      </c>
      <c r="C367" s="111"/>
      <c r="D367" s="42"/>
      <c r="F367" s="87" t="s">
        <v>265</v>
      </c>
      <c r="G367" s="103">
        <f>SUM(C387)</f>
        <v>0</v>
      </c>
    </row>
    <row r="368" spans="1:8" ht="15" customHeight="1" x14ac:dyDescent="0.4">
      <c r="A368" s="45"/>
      <c r="B368" s="287" t="s">
        <v>239</v>
      </c>
      <c r="C368" s="112"/>
      <c r="D368" s="44"/>
      <c r="F368" s="87" t="s">
        <v>259</v>
      </c>
      <c r="G368" s="96">
        <f>SUM(G356)</f>
        <v>0</v>
      </c>
      <c r="H368" s="36"/>
    </row>
    <row r="369" spans="1:8" x14ac:dyDescent="0.3">
      <c r="B369" s="287" t="s">
        <v>241</v>
      </c>
      <c r="C369" s="112"/>
      <c r="D369"/>
      <c r="F369" s="87" t="s">
        <v>266</v>
      </c>
      <c r="G369" s="104">
        <f>SUM(G359)</f>
        <v>0</v>
      </c>
    </row>
    <row r="370" spans="1:8" ht="15" customHeight="1" thickBot="1" x14ac:dyDescent="0.45">
      <c r="A370" s="2"/>
      <c r="B370" s="287" t="s">
        <v>242</v>
      </c>
      <c r="C370" s="112">
        <f t="array" ref="C370">SUM(C367:C369*C353)</f>
        <v>0</v>
      </c>
      <c r="D370" s="44"/>
      <c r="F370" s="97" t="s">
        <v>223</v>
      </c>
      <c r="G370" s="105">
        <f>SUM(G362:G369)</f>
        <v>0</v>
      </c>
    </row>
    <row r="371" spans="1:8" ht="15" thickBot="1" x14ac:dyDescent="0.35">
      <c r="B371" s="287" t="s">
        <v>244</v>
      </c>
      <c r="C371" s="112">
        <f>SUM(C370/8)</f>
        <v>0</v>
      </c>
      <c r="F371" s="106"/>
      <c r="G371" s="107"/>
    </row>
    <row r="372" spans="1:8" ht="15" customHeight="1" thickBot="1" x14ac:dyDescent="0.35">
      <c r="A372" s="2"/>
      <c r="B372" s="288" t="s">
        <v>243</v>
      </c>
      <c r="C372" s="113"/>
      <c r="D372"/>
      <c r="F372" s="295" t="s">
        <v>267</v>
      </c>
      <c r="G372" s="296"/>
    </row>
    <row r="373" spans="1:8" ht="15" thickBot="1" x14ac:dyDescent="0.35">
      <c r="A373" s="2"/>
      <c r="B373" s="289" t="s">
        <v>245</v>
      </c>
      <c r="C373" s="116">
        <f>SUM(C372*C371)</f>
        <v>0</v>
      </c>
      <c r="E373" s="40"/>
      <c r="F373" s="92" t="s">
        <v>268</v>
      </c>
      <c r="G373" s="108">
        <v>0.01</v>
      </c>
      <c r="H373" s="36"/>
    </row>
    <row r="374" spans="1:8" ht="15" thickBot="1" x14ac:dyDescent="0.35">
      <c r="A374" s="2"/>
      <c r="B374" s="273"/>
      <c r="C374" s="117"/>
      <c r="E374" s="40"/>
      <c r="F374" s="97" t="s">
        <v>269</v>
      </c>
      <c r="G374" s="98">
        <f>SUM(G370*G373)</f>
        <v>0</v>
      </c>
      <c r="H374" s="36"/>
    </row>
    <row r="375" spans="1:8" ht="15" thickBot="1" x14ac:dyDescent="0.35">
      <c r="A375" s="2"/>
      <c r="B375" s="314" t="s">
        <v>249</v>
      </c>
      <c r="C375" s="315"/>
      <c r="E375" s="40"/>
      <c r="F375" s="84"/>
      <c r="G375" s="84"/>
      <c r="H375" s="36"/>
    </row>
    <row r="376" spans="1:8" ht="15" thickBot="1" x14ac:dyDescent="0.35">
      <c r="B376" s="290" t="s">
        <v>250</v>
      </c>
      <c r="C376" s="267"/>
      <c r="F376" s="314" t="s">
        <v>270</v>
      </c>
      <c r="G376" s="315"/>
      <c r="H376" s="47"/>
    </row>
    <row r="377" spans="1:8" ht="15" thickBot="1" x14ac:dyDescent="0.35">
      <c r="B377" s="291" t="s">
        <v>251</v>
      </c>
      <c r="C377" s="268"/>
      <c r="F377" s="109" t="s">
        <v>262</v>
      </c>
      <c r="G377" s="110">
        <f>SUM(G370)</f>
        <v>0</v>
      </c>
      <c r="H377" s="47"/>
    </row>
    <row r="378" spans="1:8" ht="15" thickBot="1" x14ac:dyDescent="0.35">
      <c r="B378" s="292" t="s">
        <v>247</v>
      </c>
      <c r="C378" s="269">
        <f t="array" ref="C378">SUM((C376:C377)*C353)</f>
        <v>0</v>
      </c>
      <c r="E378" s="40"/>
      <c r="F378" s="87" t="s">
        <v>267</v>
      </c>
      <c r="G378" s="89">
        <f>SUM(G374)</f>
        <v>0</v>
      </c>
      <c r="H378" s="48"/>
    </row>
    <row r="379" spans="1:8" ht="15" thickBot="1" x14ac:dyDescent="0.35">
      <c r="B379" s="273"/>
      <c r="C379" s="84"/>
      <c r="F379" s="87" t="s">
        <v>273</v>
      </c>
      <c r="G379" s="89">
        <f>SUM(G377:G378)</f>
        <v>0</v>
      </c>
    </row>
    <row r="380" spans="1:8" ht="15" thickBot="1" x14ac:dyDescent="0.35">
      <c r="B380" s="314" t="s">
        <v>252</v>
      </c>
      <c r="C380" s="315"/>
      <c r="E380" s="10"/>
      <c r="F380" s="87" t="s">
        <v>271</v>
      </c>
      <c r="G380" s="95">
        <v>0.18</v>
      </c>
      <c r="H380" s="36"/>
    </row>
    <row r="381" spans="1:8" x14ac:dyDescent="0.3">
      <c r="B381" s="290" t="s">
        <v>253</v>
      </c>
      <c r="C381" s="267">
        <f>C370*50</f>
        <v>0</v>
      </c>
      <c r="F381" s="87" t="s">
        <v>274</v>
      </c>
      <c r="G381" s="89">
        <f>SUM(G379*G380)</f>
        <v>0</v>
      </c>
      <c r="H381" s="129"/>
    </row>
    <row r="382" spans="1:8" ht="15" thickBot="1" x14ac:dyDescent="0.35">
      <c r="B382" s="293" t="s">
        <v>342</v>
      </c>
      <c r="C382" s="270"/>
      <c r="F382" s="90" t="s">
        <v>272</v>
      </c>
      <c r="G382" s="98">
        <f>SUM(G379+G381)</f>
        <v>0</v>
      </c>
      <c r="H382" s="46"/>
    </row>
    <row r="383" spans="1:8" x14ac:dyDescent="0.3">
      <c r="B383" s="293" t="s">
        <v>293</v>
      </c>
      <c r="C383" s="270"/>
      <c r="G383" s="36"/>
      <c r="H383" s="46"/>
    </row>
    <row r="384" spans="1:8" x14ac:dyDescent="0.3">
      <c r="B384" s="293" t="s">
        <v>254</v>
      </c>
      <c r="C384" s="270">
        <f>9500*C353</f>
        <v>0</v>
      </c>
      <c r="F384" s="46"/>
      <c r="G384" s="46"/>
      <c r="H384" s="46"/>
    </row>
    <row r="385" spans="2:15" x14ac:dyDescent="0.3">
      <c r="B385" s="293" t="s">
        <v>255</v>
      </c>
      <c r="C385" s="270"/>
      <c r="D385" s="10" t="s">
        <v>1284</v>
      </c>
      <c r="F385" s="46"/>
      <c r="G385" s="46"/>
      <c r="H385" s="46"/>
    </row>
    <row r="386" spans="2:15" ht="15" thickBot="1" x14ac:dyDescent="0.35">
      <c r="B386" s="294" t="s">
        <v>256</v>
      </c>
      <c r="C386" s="271"/>
      <c r="D386" s="10" t="s">
        <v>1285</v>
      </c>
      <c r="F386" s="46"/>
      <c r="G386" s="46"/>
      <c r="H386" s="46"/>
    </row>
    <row r="387" spans="2:15" ht="15" thickBot="1" x14ac:dyDescent="0.35">
      <c r="B387" s="292" t="s">
        <v>257</v>
      </c>
      <c r="C387" s="272">
        <f>SUM(C381:C386)</f>
        <v>0</v>
      </c>
      <c r="F387" s="46"/>
      <c r="G387" s="46"/>
      <c r="H387" s="46"/>
    </row>
    <row r="388" spans="2:15" x14ac:dyDescent="0.3">
      <c r="B388"/>
      <c r="C388" s="46"/>
      <c r="F388" s="46"/>
      <c r="G388" s="46"/>
      <c r="H388" s="46"/>
    </row>
    <row r="389" spans="2:15" x14ac:dyDescent="0.3">
      <c r="B389"/>
      <c r="F389" s="46"/>
      <c r="G389" s="46"/>
      <c r="H389" s="46"/>
      <c r="O389" s="8"/>
    </row>
    <row r="390" spans="2:15" x14ac:dyDescent="0.3">
      <c r="B390"/>
      <c r="F390" s="46"/>
      <c r="G390" s="46"/>
      <c r="H390" s="46"/>
    </row>
    <row r="391" spans="2:15" x14ac:dyDescent="0.3">
      <c r="B391"/>
      <c r="F391" s="46"/>
      <c r="G391" s="46"/>
      <c r="H391" s="46"/>
    </row>
    <row r="392" spans="2:15" x14ac:dyDescent="0.3">
      <c r="B392"/>
      <c r="F392" s="46"/>
      <c r="G392" s="46"/>
      <c r="H392" s="46"/>
      <c r="L392" s="36"/>
    </row>
    <row r="393" spans="2:15" x14ac:dyDescent="0.3">
      <c r="B393"/>
      <c r="F393" s="46"/>
      <c r="G393" s="46"/>
      <c r="H393" s="46"/>
      <c r="L393" s="36"/>
    </row>
    <row r="394" spans="2:15" x14ac:dyDescent="0.3">
      <c r="B394"/>
      <c r="G394" s="9"/>
    </row>
    <row r="395" spans="2:15" x14ac:dyDescent="0.3">
      <c r="B395"/>
      <c r="F395" s="8"/>
    </row>
    <row r="396" spans="2:15" x14ac:dyDescent="0.3">
      <c r="B396"/>
    </row>
    <row r="397" spans="2:15" x14ac:dyDescent="0.3">
      <c r="B397"/>
    </row>
    <row r="398" spans="2:15" x14ac:dyDescent="0.3">
      <c r="B398"/>
    </row>
    <row r="399" spans="2:15" x14ac:dyDescent="0.3">
      <c r="B399"/>
    </row>
    <row r="400" spans="2:15" x14ac:dyDescent="0.3">
      <c r="B400"/>
    </row>
    <row r="401" spans="2:2" x14ac:dyDescent="0.3">
      <c r="B401"/>
    </row>
    <row r="402" spans="2:2" x14ac:dyDescent="0.3">
      <c r="B402"/>
    </row>
    <row r="403" spans="2:2" x14ac:dyDescent="0.3">
      <c r="B403"/>
    </row>
    <row r="404" spans="2:2" x14ac:dyDescent="0.3">
      <c r="B404"/>
    </row>
    <row r="405" spans="2:2" x14ac:dyDescent="0.3">
      <c r="B405"/>
    </row>
    <row r="406" spans="2:2" x14ac:dyDescent="0.3">
      <c r="B406"/>
    </row>
    <row r="407" spans="2:2" x14ac:dyDescent="0.3">
      <c r="B407"/>
    </row>
    <row r="408" spans="2:2" x14ac:dyDescent="0.3">
      <c r="B408"/>
    </row>
    <row r="409" spans="2:2" x14ac:dyDescent="0.3">
      <c r="B409"/>
    </row>
    <row r="410" spans="2:2" x14ac:dyDescent="0.3">
      <c r="B410"/>
    </row>
    <row r="411" spans="2:2" x14ac:dyDescent="0.3">
      <c r="B411"/>
    </row>
    <row r="412" spans="2:2" x14ac:dyDescent="0.3">
      <c r="B412"/>
    </row>
    <row r="413" spans="2:2" x14ac:dyDescent="0.3">
      <c r="B413"/>
    </row>
    <row r="414" spans="2:2" x14ac:dyDescent="0.3">
      <c r="B414"/>
    </row>
    <row r="415" spans="2:2" x14ac:dyDescent="0.3">
      <c r="B415"/>
    </row>
    <row r="416" spans="2:2" x14ac:dyDescent="0.3">
      <c r="B416"/>
    </row>
    <row r="417" spans="2:2" x14ac:dyDescent="0.3">
      <c r="B417"/>
    </row>
    <row r="418" spans="2:2" x14ac:dyDescent="0.3">
      <c r="B418"/>
    </row>
    <row r="419" spans="2:2" x14ac:dyDescent="0.3">
      <c r="B419"/>
    </row>
    <row r="420" spans="2:2" x14ac:dyDescent="0.3">
      <c r="B420"/>
    </row>
    <row r="421" spans="2:2" x14ac:dyDescent="0.3">
      <c r="B421"/>
    </row>
    <row r="422" spans="2:2" x14ac:dyDescent="0.3">
      <c r="B422"/>
    </row>
    <row r="423" spans="2:2" x14ac:dyDescent="0.3">
      <c r="B423"/>
    </row>
    <row r="424" spans="2:2" x14ac:dyDescent="0.3">
      <c r="B424"/>
    </row>
    <row r="425" spans="2:2" x14ac:dyDescent="0.3">
      <c r="B425"/>
    </row>
    <row r="426" spans="2:2" x14ac:dyDescent="0.3">
      <c r="B426"/>
    </row>
    <row r="427" spans="2:2" x14ac:dyDescent="0.3">
      <c r="B427"/>
    </row>
    <row r="428" spans="2:2" x14ac:dyDescent="0.3">
      <c r="B428"/>
    </row>
    <row r="429" spans="2:2" x14ac:dyDescent="0.3">
      <c r="B429"/>
    </row>
    <row r="430" spans="2:2" x14ac:dyDescent="0.3">
      <c r="B430"/>
    </row>
    <row r="431" spans="2:2" x14ac:dyDescent="0.3">
      <c r="B431"/>
    </row>
    <row r="432" spans="2:2" x14ac:dyDescent="0.3">
      <c r="B432"/>
    </row>
    <row r="433" spans="2:2" x14ac:dyDescent="0.3">
      <c r="B433"/>
    </row>
    <row r="434" spans="2:2" x14ac:dyDescent="0.3">
      <c r="B434"/>
    </row>
    <row r="435" spans="2:2" x14ac:dyDescent="0.3">
      <c r="B435"/>
    </row>
    <row r="436" spans="2:2" x14ac:dyDescent="0.3">
      <c r="B436"/>
    </row>
    <row r="437" spans="2:2" x14ac:dyDescent="0.3">
      <c r="B437"/>
    </row>
    <row r="438" spans="2:2" x14ac:dyDescent="0.3">
      <c r="B438"/>
    </row>
    <row r="439" spans="2:2" x14ac:dyDescent="0.3">
      <c r="B439"/>
    </row>
    <row r="440" spans="2:2" x14ac:dyDescent="0.3">
      <c r="B440"/>
    </row>
    <row r="441" spans="2:2" x14ac:dyDescent="0.3">
      <c r="B441"/>
    </row>
    <row r="442" spans="2:2" x14ac:dyDescent="0.3">
      <c r="B442"/>
    </row>
    <row r="443" spans="2:2" x14ac:dyDescent="0.3">
      <c r="B443"/>
    </row>
    <row r="444" spans="2:2" x14ac:dyDescent="0.3">
      <c r="B444"/>
    </row>
    <row r="445" spans="2:2" x14ac:dyDescent="0.3">
      <c r="B445"/>
    </row>
    <row r="446" spans="2:2" x14ac:dyDescent="0.3">
      <c r="B446"/>
    </row>
    <row r="447" spans="2:2" x14ac:dyDescent="0.3">
      <c r="B447"/>
    </row>
    <row r="448" spans="2:2" x14ac:dyDescent="0.3">
      <c r="B448"/>
    </row>
    <row r="449" spans="2:2" x14ac:dyDescent="0.3">
      <c r="B449"/>
    </row>
    <row r="450" spans="2:2" x14ac:dyDescent="0.3">
      <c r="B450"/>
    </row>
    <row r="451" spans="2:2" x14ac:dyDescent="0.3">
      <c r="B451"/>
    </row>
    <row r="452" spans="2:2" x14ac:dyDescent="0.3">
      <c r="B452"/>
    </row>
    <row r="453" spans="2:2" x14ac:dyDescent="0.3">
      <c r="B453"/>
    </row>
    <row r="454" spans="2:2" x14ac:dyDescent="0.3">
      <c r="B454"/>
    </row>
    <row r="455" spans="2:2" x14ac:dyDescent="0.3">
      <c r="B455"/>
    </row>
    <row r="456" spans="2:2" x14ac:dyDescent="0.3">
      <c r="B456"/>
    </row>
    <row r="457" spans="2:2" x14ac:dyDescent="0.3">
      <c r="B457"/>
    </row>
    <row r="458" spans="2:2" x14ac:dyDescent="0.3">
      <c r="B458"/>
    </row>
    <row r="459" spans="2:2" x14ac:dyDescent="0.3">
      <c r="B459"/>
    </row>
    <row r="460" spans="2:2" x14ac:dyDescent="0.3">
      <c r="B460"/>
    </row>
    <row r="461" spans="2:2" x14ac:dyDescent="0.3">
      <c r="B461"/>
    </row>
    <row r="462" spans="2:2" x14ac:dyDescent="0.3">
      <c r="B462"/>
    </row>
    <row r="463" spans="2:2" x14ac:dyDescent="0.3">
      <c r="B463"/>
    </row>
    <row r="464" spans="2:2" x14ac:dyDescent="0.3">
      <c r="B464"/>
    </row>
    <row r="465" spans="2:2" x14ac:dyDescent="0.3">
      <c r="B465"/>
    </row>
    <row r="466" spans="2:2" x14ac:dyDescent="0.3">
      <c r="B466"/>
    </row>
    <row r="467" spans="2:2" x14ac:dyDescent="0.3">
      <c r="B467"/>
    </row>
    <row r="468" spans="2:2" x14ac:dyDescent="0.3">
      <c r="B468"/>
    </row>
    <row r="469" spans="2:2" x14ac:dyDescent="0.3">
      <c r="B469"/>
    </row>
    <row r="470" spans="2:2" x14ac:dyDescent="0.3">
      <c r="B470"/>
    </row>
    <row r="471" spans="2:2" x14ac:dyDescent="0.3">
      <c r="B471"/>
    </row>
    <row r="472" spans="2:2" x14ac:dyDescent="0.3">
      <c r="B472"/>
    </row>
    <row r="473" spans="2:2" x14ac:dyDescent="0.3">
      <c r="B473"/>
    </row>
    <row r="474" spans="2:2" x14ac:dyDescent="0.3">
      <c r="B474"/>
    </row>
    <row r="475" spans="2:2" x14ac:dyDescent="0.3">
      <c r="B475"/>
    </row>
    <row r="476" spans="2:2" x14ac:dyDescent="0.3">
      <c r="B476"/>
    </row>
    <row r="477" spans="2:2" x14ac:dyDescent="0.3">
      <c r="B477"/>
    </row>
    <row r="478" spans="2:2" x14ac:dyDescent="0.3">
      <c r="B478"/>
    </row>
    <row r="479" spans="2:2" x14ac:dyDescent="0.3">
      <c r="B479"/>
    </row>
    <row r="480" spans="2:2" x14ac:dyDescent="0.3">
      <c r="B480"/>
    </row>
    <row r="481" spans="2:2" x14ac:dyDescent="0.3">
      <c r="B481"/>
    </row>
    <row r="482" spans="2:2" x14ac:dyDescent="0.3">
      <c r="B482"/>
    </row>
    <row r="483" spans="2:2" x14ac:dyDescent="0.3">
      <c r="B483"/>
    </row>
    <row r="484" spans="2:2" x14ac:dyDescent="0.3">
      <c r="B484"/>
    </row>
    <row r="485" spans="2:2" x14ac:dyDescent="0.3">
      <c r="B485"/>
    </row>
    <row r="486" spans="2:2" x14ac:dyDescent="0.3">
      <c r="B486"/>
    </row>
    <row r="487" spans="2:2" x14ac:dyDescent="0.3">
      <c r="B487"/>
    </row>
    <row r="488" spans="2:2" x14ac:dyDescent="0.3">
      <c r="B488"/>
    </row>
    <row r="489" spans="2:2" x14ac:dyDescent="0.3">
      <c r="B489"/>
    </row>
    <row r="490" spans="2:2" x14ac:dyDescent="0.3">
      <c r="B490"/>
    </row>
    <row r="491" spans="2:2" x14ac:dyDescent="0.3">
      <c r="B491"/>
    </row>
    <row r="492" spans="2:2" x14ac:dyDescent="0.3">
      <c r="B492"/>
    </row>
    <row r="493" spans="2:2" x14ac:dyDescent="0.3">
      <c r="B493"/>
    </row>
    <row r="494" spans="2:2" x14ac:dyDescent="0.3">
      <c r="B494"/>
    </row>
    <row r="495" spans="2:2" x14ac:dyDescent="0.3">
      <c r="B495"/>
    </row>
    <row r="496" spans="2:2" x14ac:dyDescent="0.3">
      <c r="B496"/>
    </row>
    <row r="497" spans="2:2" x14ac:dyDescent="0.3">
      <c r="B497"/>
    </row>
    <row r="498" spans="2:2" x14ac:dyDescent="0.3">
      <c r="B498"/>
    </row>
    <row r="499" spans="2:2" x14ac:dyDescent="0.3">
      <c r="B499"/>
    </row>
    <row r="500" spans="2:2" x14ac:dyDescent="0.3">
      <c r="B500"/>
    </row>
    <row r="501" spans="2:2" x14ac:dyDescent="0.3">
      <c r="B501"/>
    </row>
    <row r="502" spans="2:2" x14ac:dyDescent="0.3">
      <c r="B502"/>
    </row>
    <row r="503" spans="2:2" x14ac:dyDescent="0.3">
      <c r="B503"/>
    </row>
    <row r="504" spans="2:2" x14ac:dyDescent="0.3">
      <c r="B504"/>
    </row>
    <row r="505" spans="2:2" x14ac:dyDescent="0.3">
      <c r="B505"/>
    </row>
    <row r="506" spans="2:2" x14ac:dyDescent="0.3">
      <c r="B506"/>
    </row>
    <row r="507" spans="2:2" x14ac:dyDescent="0.3">
      <c r="B507"/>
    </row>
    <row r="508" spans="2:2" x14ac:dyDescent="0.3">
      <c r="B508"/>
    </row>
    <row r="509" spans="2:2" x14ac:dyDescent="0.3">
      <c r="B509"/>
    </row>
    <row r="510" spans="2:2" x14ac:dyDescent="0.3">
      <c r="B510"/>
    </row>
    <row r="511" spans="2:2" x14ac:dyDescent="0.3">
      <c r="B511"/>
    </row>
    <row r="512" spans="2:2" x14ac:dyDescent="0.3">
      <c r="B512"/>
    </row>
    <row r="513" spans="2:2" x14ac:dyDescent="0.3">
      <c r="B513"/>
    </row>
    <row r="514" spans="2:2" x14ac:dyDescent="0.3">
      <c r="B514"/>
    </row>
    <row r="515" spans="2:2" x14ac:dyDescent="0.3">
      <c r="B515"/>
    </row>
    <row r="516" spans="2:2" x14ac:dyDescent="0.3">
      <c r="B516"/>
    </row>
    <row r="517" spans="2:2" x14ac:dyDescent="0.3">
      <c r="B517"/>
    </row>
    <row r="518" spans="2:2" x14ac:dyDescent="0.3">
      <c r="B518"/>
    </row>
    <row r="519" spans="2:2" x14ac:dyDescent="0.3">
      <c r="B519"/>
    </row>
    <row r="520" spans="2:2" x14ac:dyDescent="0.3">
      <c r="B520"/>
    </row>
    <row r="521" spans="2:2" x14ac:dyDescent="0.3">
      <c r="B521"/>
    </row>
    <row r="522" spans="2:2" x14ac:dyDescent="0.3">
      <c r="B522"/>
    </row>
    <row r="523" spans="2:2" x14ac:dyDescent="0.3">
      <c r="B523"/>
    </row>
    <row r="524" spans="2:2" x14ac:dyDescent="0.3">
      <c r="B524"/>
    </row>
    <row r="525" spans="2:2" x14ac:dyDescent="0.3">
      <c r="B525"/>
    </row>
    <row r="526" spans="2:2" x14ac:dyDescent="0.3">
      <c r="B526"/>
    </row>
    <row r="527" spans="2:2" x14ac:dyDescent="0.3">
      <c r="B527"/>
    </row>
    <row r="528" spans="2:2" x14ac:dyDescent="0.3">
      <c r="B528"/>
    </row>
    <row r="529" spans="2:2" x14ac:dyDescent="0.3">
      <c r="B529"/>
    </row>
    <row r="530" spans="2:2" x14ac:dyDescent="0.3">
      <c r="B530"/>
    </row>
    <row r="531" spans="2:2" x14ac:dyDescent="0.3">
      <c r="B531"/>
    </row>
    <row r="532" spans="2:2" x14ac:dyDescent="0.3">
      <c r="B532"/>
    </row>
    <row r="533" spans="2:2" x14ac:dyDescent="0.3">
      <c r="B533"/>
    </row>
    <row r="534" spans="2:2" x14ac:dyDescent="0.3">
      <c r="B534"/>
    </row>
    <row r="535" spans="2:2" x14ac:dyDescent="0.3">
      <c r="B535"/>
    </row>
    <row r="536" spans="2:2" x14ac:dyDescent="0.3">
      <c r="B536"/>
    </row>
    <row r="537" spans="2:2" x14ac:dyDescent="0.3">
      <c r="B537"/>
    </row>
    <row r="538" spans="2:2" x14ac:dyDescent="0.3">
      <c r="B538"/>
    </row>
    <row r="539" spans="2:2" x14ac:dyDescent="0.3">
      <c r="B539"/>
    </row>
    <row r="540" spans="2:2" x14ac:dyDescent="0.3">
      <c r="B540"/>
    </row>
    <row r="541" spans="2:2" x14ac:dyDescent="0.3">
      <c r="B541"/>
    </row>
    <row r="542" spans="2:2" x14ac:dyDescent="0.3">
      <c r="B542"/>
    </row>
    <row r="543" spans="2:2" x14ac:dyDescent="0.3">
      <c r="B543"/>
    </row>
    <row r="544" spans="2:2" x14ac:dyDescent="0.3">
      <c r="B544"/>
    </row>
    <row r="545" spans="2:2" x14ac:dyDescent="0.3">
      <c r="B545"/>
    </row>
    <row r="546" spans="2:2" x14ac:dyDescent="0.3">
      <c r="B546"/>
    </row>
    <row r="547" spans="2:2" x14ac:dyDescent="0.3">
      <c r="B547"/>
    </row>
    <row r="548" spans="2:2" x14ac:dyDescent="0.3">
      <c r="B548"/>
    </row>
    <row r="549" spans="2:2" x14ac:dyDescent="0.3">
      <c r="B549"/>
    </row>
    <row r="550" spans="2:2" x14ac:dyDescent="0.3">
      <c r="B550"/>
    </row>
    <row r="551" spans="2:2" x14ac:dyDescent="0.3">
      <c r="B551"/>
    </row>
    <row r="552" spans="2:2" x14ac:dyDescent="0.3">
      <c r="B552"/>
    </row>
    <row r="553" spans="2:2" x14ac:dyDescent="0.3">
      <c r="B553"/>
    </row>
    <row r="554" spans="2:2" x14ac:dyDescent="0.3">
      <c r="B554"/>
    </row>
    <row r="555" spans="2:2" x14ac:dyDescent="0.3">
      <c r="B555"/>
    </row>
    <row r="556" spans="2:2" x14ac:dyDescent="0.3">
      <c r="B556"/>
    </row>
    <row r="557" spans="2:2" x14ac:dyDescent="0.3">
      <c r="B557"/>
    </row>
    <row r="558" spans="2:2" x14ac:dyDescent="0.3">
      <c r="B558"/>
    </row>
    <row r="559" spans="2:2" x14ac:dyDescent="0.3">
      <c r="B559"/>
    </row>
    <row r="560" spans="2:2" x14ac:dyDescent="0.3">
      <c r="B560"/>
    </row>
    <row r="561" spans="2:2" x14ac:dyDescent="0.3">
      <c r="B561"/>
    </row>
    <row r="562" spans="2:2" x14ac:dyDescent="0.3">
      <c r="B562"/>
    </row>
    <row r="563" spans="2:2" x14ac:dyDescent="0.3">
      <c r="B563"/>
    </row>
    <row r="564" spans="2:2" x14ac:dyDescent="0.3">
      <c r="B564"/>
    </row>
    <row r="565" spans="2:2" x14ac:dyDescent="0.3">
      <c r="B565"/>
    </row>
    <row r="566" spans="2:2" x14ac:dyDescent="0.3">
      <c r="B566"/>
    </row>
    <row r="567" spans="2:2" x14ac:dyDescent="0.3">
      <c r="B567"/>
    </row>
    <row r="568" spans="2:2" x14ac:dyDescent="0.3">
      <c r="B568"/>
    </row>
    <row r="569" spans="2:2" x14ac:dyDescent="0.3">
      <c r="B569"/>
    </row>
    <row r="570" spans="2:2" x14ac:dyDescent="0.3">
      <c r="B570"/>
    </row>
    <row r="571" spans="2:2" x14ac:dyDescent="0.3">
      <c r="B571"/>
    </row>
    <row r="572" spans="2:2" x14ac:dyDescent="0.3">
      <c r="B572"/>
    </row>
    <row r="573" spans="2:2" x14ac:dyDescent="0.3">
      <c r="B573"/>
    </row>
    <row r="574" spans="2:2" x14ac:dyDescent="0.3">
      <c r="B574"/>
    </row>
    <row r="575" spans="2:2" x14ac:dyDescent="0.3">
      <c r="B575"/>
    </row>
    <row r="576" spans="2:2" x14ac:dyDescent="0.3">
      <c r="B576"/>
    </row>
    <row r="577" spans="2:2" x14ac:dyDescent="0.3">
      <c r="B577"/>
    </row>
    <row r="578" spans="2:2" x14ac:dyDescent="0.3">
      <c r="B578"/>
    </row>
    <row r="579" spans="2:2" x14ac:dyDescent="0.3">
      <c r="B579"/>
    </row>
    <row r="580" spans="2:2" x14ac:dyDescent="0.3">
      <c r="B580"/>
    </row>
    <row r="581" spans="2:2" x14ac:dyDescent="0.3">
      <c r="B581"/>
    </row>
    <row r="582" spans="2:2" x14ac:dyDescent="0.3">
      <c r="B582"/>
    </row>
    <row r="583" spans="2:2" x14ac:dyDescent="0.3">
      <c r="B583"/>
    </row>
    <row r="584" spans="2:2" x14ac:dyDescent="0.3">
      <c r="B584"/>
    </row>
    <row r="585" spans="2:2" x14ac:dyDescent="0.3">
      <c r="B585"/>
    </row>
    <row r="586" spans="2:2" x14ac:dyDescent="0.3">
      <c r="B586"/>
    </row>
    <row r="587" spans="2:2" x14ac:dyDescent="0.3">
      <c r="B587"/>
    </row>
    <row r="588" spans="2:2" x14ac:dyDescent="0.3">
      <c r="B588"/>
    </row>
    <row r="589" spans="2:2" x14ac:dyDescent="0.3">
      <c r="B589"/>
    </row>
    <row r="590" spans="2:2" x14ac:dyDescent="0.3">
      <c r="B590"/>
    </row>
    <row r="591" spans="2:2" x14ac:dyDescent="0.3">
      <c r="B591"/>
    </row>
    <row r="592" spans="2:2" x14ac:dyDescent="0.3">
      <c r="B592"/>
    </row>
    <row r="593" spans="2:2" x14ac:dyDescent="0.3">
      <c r="B593"/>
    </row>
    <row r="594" spans="2:2" x14ac:dyDescent="0.3">
      <c r="B594"/>
    </row>
    <row r="595" spans="2:2" x14ac:dyDescent="0.3">
      <c r="B595"/>
    </row>
    <row r="596" spans="2:2" x14ac:dyDescent="0.3">
      <c r="B596"/>
    </row>
    <row r="597" spans="2:2" x14ac:dyDescent="0.3">
      <c r="B597"/>
    </row>
    <row r="598" spans="2:2" x14ac:dyDescent="0.3">
      <c r="B598"/>
    </row>
    <row r="599" spans="2:2" x14ac:dyDescent="0.3">
      <c r="B599"/>
    </row>
    <row r="600" spans="2:2" x14ac:dyDescent="0.3">
      <c r="B600"/>
    </row>
    <row r="601" spans="2:2" x14ac:dyDescent="0.3">
      <c r="B601"/>
    </row>
    <row r="602" spans="2:2" x14ac:dyDescent="0.3">
      <c r="B602"/>
    </row>
    <row r="603" spans="2:2" x14ac:dyDescent="0.3">
      <c r="B603"/>
    </row>
    <row r="604" spans="2:2" x14ac:dyDescent="0.3">
      <c r="B604"/>
    </row>
    <row r="605" spans="2:2" x14ac:dyDescent="0.3">
      <c r="B605"/>
    </row>
    <row r="606" spans="2:2" x14ac:dyDescent="0.3">
      <c r="B606"/>
    </row>
    <row r="607" spans="2:2" x14ac:dyDescent="0.3">
      <c r="B607"/>
    </row>
    <row r="608" spans="2:2" x14ac:dyDescent="0.3">
      <c r="B608"/>
    </row>
    <row r="609" spans="2:2" x14ac:dyDescent="0.3">
      <c r="B609"/>
    </row>
    <row r="610" spans="2:2" x14ac:dyDescent="0.3">
      <c r="B610"/>
    </row>
    <row r="611" spans="2:2" x14ac:dyDescent="0.3">
      <c r="B611"/>
    </row>
    <row r="612" spans="2:2" x14ac:dyDescent="0.3">
      <c r="B612"/>
    </row>
    <row r="613" spans="2:2" x14ac:dyDescent="0.3">
      <c r="B613"/>
    </row>
    <row r="614" spans="2:2" x14ac:dyDescent="0.3">
      <c r="B614"/>
    </row>
    <row r="615" spans="2:2" x14ac:dyDescent="0.3">
      <c r="B615"/>
    </row>
    <row r="616" spans="2:2" x14ac:dyDescent="0.3">
      <c r="B616"/>
    </row>
    <row r="617" spans="2:2" x14ac:dyDescent="0.3">
      <c r="B617"/>
    </row>
    <row r="618" spans="2:2" x14ac:dyDescent="0.3">
      <c r="B618"/>
    </row>
    <row r="619" spans="2:2" x14ac:dyDescent="0.3">
      <c r="B619"/>
    </row>
    <row r="620" spans="2:2" x14ac:dyDescent="0.3">
      <c r="B620"/>
    </row>
    <row r="621" spans="2:2" x14ac:dyDescent="0.3">
      <c r="B621"/>
    </row>
    <row r="622" spans="2:2" x14ac:dyDescent="0.3">
      <c r="B622"/>
    </row>
    <row r="623" spans="2:2" x14ac:dyDescent="0.3">
      <c r="B623"/>
    </row>
    <row r="624" spans="2:2" x14ac:dyDescent="0.3">
      <c r="B624"/>
    </row>
    <row r="625" spans="2:2" x14ac:dyDescent="0.3">
      <c r="B625"/>
    </row>
    <row r="626" spans="2:2" x14ac:dyDescent="0.3">
      <c r="B626"/>
    </row>
    <row r="627" spans="2:2" x14ac:dyDescent="0.3">
      <c r="B627"/>
    </row>
    <row r="628" spans="2:2" x14ac:dyDescent="0.3">
      <c r="B628"/>
    </row>
    <row r="629" spans="2:2" x14ac:dyDescent="0.3">
      <c r="B629"/>
    </row>
    <row r="630" spans="2:2" x14ac:dyDescent="0.3">
      <c r="B630"/>
    </row>
    <row r="631" spans="2:2" x14ac:dyDescent="0.3">
      <c r="B631"/>
    </row>
    <row r="632" spans="2:2" x14ac:dyDescent="0.3">
      <c r="B632"/>
    </row>
    <row r="633" spans="2:2" x14ac:dyDescent="0.3">
      <c r="B633"/>
    </row>
    <row r="634" spans="2:2" x14ac:dyDescent="0.3">
      <c r="B634"/>
    </row>
    <row r="635" spans="2:2" x14ac:dyDescent="0.3">
      <c r="B635"/>
    </row>
    <row r="636" spans="2:2" x14ac:dyDescent="0.3">
      <c r="B636"/>
    </row>
    <row r="637" spans="2:2" x14ac:dyDescent="0.3">
      <c r="B637"/>
    </row>
    <row r="638" spans="2:2" x14ac:dyDescent="0.3">
      <c r="B638"/>
    </row>
    <row r="639" spans="2:2" x14ac:dyDescent="0.3">
      <c r="B639"/>
    </row>
    <row r="640" spans="2:2" x14ac:dyDescent="0.3">
      <c r="B640"/>
    </row>
    <row r="641" spans="2:2" x14ac:dyDescent="0.3">
      <c r="B641"/>
    </row>
    <row r="642" spans="2:2" x14ac:dyDescent="0.3">
      <c r="B642"/>
    </row>
    <row r="643" spans="2:2" x14ac:dyDescent="0.3">
      <c r="B643"/>
    </row>
    <row r="644" spans="2:2" x14ac:dyDescent="0.3">
      <c r="B644"/>
    </row>
    <row r="645" spans="2:2" x14ac:dyDescent="0.3">
      <c r="B645"/>
    </row>
    <row r="646" spans="2:2" x14ac:dyDescent="0.3">
      <c r="B646"/>
    </row>
    <row r="647" spans="2:2" x14ac:dyDescent="0.3">
      <c r="B647"/>
    </row>
    <row r="648" spans="2:2" x14ac:dyDescent="0.3">
      <c r="B648"/>
    </row>
    <row r="649" spans="2:2" x14ac:dyDescent="0.3">
      <c r="B649"/>
    </row>
    <row r="650" spans="2:2" x14ac:dyDescent="0.3">
      <c r="B650"/>
    </row>
    <row r="651" spans="2:2" x14ac:dyDescent="0.3">
      <c r="B651"/>
    </row>
    <row r="652" spans="2:2" x14ac:dyDescent="0.3">
      <c r="B652"/>
    </row>
    <row r="653" spans="2:2" x14ac:dyDescent="0.3">
      <c r="B653"/>
    </row>
    <row r="654" spans="2:2" x14ac:dyDescent="0.3">
      <c r="B654"/>
    </row>
    <row r="655" spans="2:2" x14ac:dyDescent="0.3">
      <c r="B655"/>
    </row>
    <row r="656" spans="2:2" x14ac:dyDescent="0.3">
      <c r="B656"/>
    </row>
    <row r="657" spans="2:2" x14ac:dyDescent="0.3">
      <c r="B657"/>
    </row>
    <row r="658" spans="2:2" x14ac:dyDescent="0.3">
      <c r="B658"/>
    </row>
    <row r="659" spans="2:2" x14ac:dyDescent="0.3">
      <c r="B659"/>
    </row>
    <row r="660" spans="2:2" x14ac:dyDescent="0.3">
      <c r="B660"/>
    </row>
    <row r="661" spans="2:2" x14ac:dyDescent="0.3">
      <c r="B661"/>
    </row>
    <row r="662" spans="2:2" x14ac:dyDescent="0.3">
      <c r="B662"/>
    </row>
    <row r="663" spans="2:2" x14ac:dyDescent="0.3">
      <c r="B663"/>
    </row>
    <row r="664" spans="2:2" x14ac:dyDescent="0.3">
      <c r="B664"/>
    </row>
    <row r="665" spans="2:2" x14ac:dyDescent="0.3">
      <c r="B665"/>
    </row>
    <row r="666" spans="2:2" x14ac:dyDescent="0.3">
      <c r="B666"/>
    </row>
    <row r="667" spans="2:2" x14ac:dyDescent="0.3">
      <c r="B667"/>
    </row>
    <row r="668" spans="2:2" x14ac:dyDescent="0.3">
      <c r="B668"/>
    </row>
    <row r="669" spans="2:2" x14ac:dyDescent="0.3">
      <c r="B669"/>
    </row>
    <row r="670" spans="2:2" x14ac:dyDescent="0.3">
      <c r="B670"/>
    </row>
    <row r="671" spans="2:2" x14ac:dyDescent="0.3">
      <c r="B671"/>
    </row>
    <row r="672" spans="2:2" x14ac:dyDescent="0.3">
      <c r="B672"/>
    </row>
    <row r="673" spans="2:2" x14ac:dyDescent="0.3">
      <c r="B673"/>
    </row>
    <row r="674" spans="2:2" x14ac:dyDescent="0.3">
      <c r="B674"/>
    </row>
    <row r="675" spans="2:2" x14ac:dyDescent="0.3">
      <c r="B675"/>
    </row>
    <row r="676" spans="2:2" x14ac:dyDescent="0.3">
      <c r="B676"/>
    </row>
    <row r="677" spans="2:2" x14ac:dyDescent="0.3">
      <c r="B677"/>
    </row>
    <row r="678" spans="2:2" x14ac:dyDescent="0.3">
      <c r="B678"/>
    </row>
    <row r="679" spans="2:2" x14ac:dyDescent="0.3">
      <c r="B679"/>
    </row>
    <row r="680" spans="2:2" x14ac:dyDescent="0.3">
      <c r="B680"/>
    </row>
    <row r="681" spans="2:2" x14ac:dyDescent="0.3">
      <c r="B681"/>
    </row>
    <row r="682" spans="2:2" x14ac:dyDescent="0.3">
      <c r="B682"/>
    </row>
    <row r="683" spans="2:2" x14ac:dyDescent="0.3">
      <c r="B683"/>
    </row>
    <row r="684" spans="2:2" x14ac:dyDescent="0.3">
      <c r="B684"/>
    </row>
    <row r="685" spans="2:2" x14ac:dyDescent="0.3">
      <c r="B685"/>
    </row>
    <row r="686" spans="2:2" x14ac:dyDescent="0.3">
      <c r="B686"/>
    </row>
    <row r="687" spans="2:2" x14ac:dyDescent="0.3">
      <c r="B687"/>
    </row>
    <row r="688" spans="2:2" x14ac:dyDescent="0.3">
      <c r="B688"/>
    </row>
    <row r="689" spans="2:2" x14ac:dyDescent="0.3">
      <c r="B689"/>
    </row>
    <row r="690" spans="2:2" x14ac:dyDescent="0.3">
      <c r="B690"/>
    </row>
    <row r="691" spans="2:2" x14ac:dyDescent="0.3">
      <c r="B691"/>
    </row>
    <row r="692" spans="2:2" x14ac:dyDescent="0.3">
      <c r="B692"/>
    </row>
    <row r="693" spans="2:2" x14ac:dyDescent="0.3">
      <c r="B693"/>
    </row>
    <row r="694" spans="2:2" x14ac:dyDescent="0.3">
      <c r="B694"/>
    </row>
    <row r="695" spans="2:2" x14ac:dyDescent="0.3">
      <c r="B695"/>
    </row>
    <row r="696" spans="2:2" x14ac:dyDescent="0.3">
      <c r="B696"/>
    </row>
    <row r="697" spans="2:2" x14ac:dyDescent="0.3">
      <c r="B697"/>
    </row>
    <row r="698" spans="2:2" x14ac:dyDescent="0.3">
      <c r="B698"/>
    </row>
    <row r="699" spans="2:2" x14ac:dyDescent="0.3">
      <c r="B699"/>
    </row>
    <row r="700" spans="2:2" x14ac:dyDescent="0.3">
      <c r="B700"/>
    </row>
    <row r="701" spans="2:2" x14ac:dyDescent="0.3">
      <c r="B701"/>
    </row>
    <row r="702" spans="2:2" x14ac:dyDescent="0.3">
      <c r="B702"/>
    </row>
    <row r="703" spans="2:2" x14ac:dyDescent="0.3">
      <c r="B703"/>
    </row>
    <row r="704" spans="2:2" x14ac:dyDescent="0.3">
      <c r="B704"/>
    </row>
    <row r="705" spans="2:2" x14ac:dyDescent="0.3">
      <c r="B705"/>
    </row>
    <row r="706" spans="2:2" x14ac:dyDescent="0.3">
      <c r="B706"/>
    </row>
    <row r="707" spans="2:2" x14ac:dyDescent="0.3">
      <c r="B707"/>
    </row>
    <row r="708" spans="2:2" x14ac:dyDescent="0.3">
      <c r="B708"/>
    </row>
    <row r="709" spans="2:2" x14ac:dyDescent="0.3">
      <c r="B709"/>
    </row>
    <row r="710" spans="2:2" x14ac:dyDescent="0.3">
      <c r="B710"/>
    </row>
    <row r="711" spans="2:2" x14ac:dyDescent="0.3">
      <c r="B711"/>
    </row>
    <row r="712" spans="2:2" x14ac:dyDescent="0.3">
      <c r="B712"/>
    </row>
    <row r="713" spans="2:2" x14ac:dyDescent="0.3">
      <c r="B713"/>
    </row>
    <row r="714" spans="2:2" x14ac:dyDescent="0.3">
      <c r="B714"/>
    </row>
    <row r="715" spans="2:2" x14ac:dyDescent="0.3">
      <c r="B715"/>
    </row>
    <row r="716" spans="2:2" x14ac:dyDescent="0.3">
      <c r="B716"/>
    </row>
    <row r="717" spans="2:2" x14ac:dyDescent="0.3">
      <c r="B717"/>
    </row>
    <row r="718" spans="2:2" x14ac:dyDescent="0.3">
      <c r="B718"/>
    </row>
    <row r="719" spans="2:2" x14ac:dyDescent="0.3">
      <c r="B719"/>
    </row>
    <row r="720" spans="2:2" x14ac:dyDescent="0.3">
      <c r="B720"/>
    </row>
    <row r="721" spans="2:2" x14ac:dyDescent="0.3">
      <c r="B721"/>
    </row>
    <row r="722" spans="2:2" x14ac:dyDescent="0.3">
      <c r="B722"/>
    </row>
    <row r="723" spans="2:2" x14ac:dyDescent="0.3">
      <c r="B723"/>
    </row>
    <row r="724" spans="2:2" x14ac:dyDescent="0.3">
      <c r="B724"/>
    </row>
    <row r="725" spans="2:2" x14ac:dyDescent="0.3">
      <c r="B725"/>
    </row>
    <row r="726" spans="2:2" x14ac:dyDescent="0.3">
      <c r="B726"/>
    </row>
    <row r="727" spans="2:2" x14ac:dyDescent="0.3">
      <c r="B727"/>
    </row>
    <row r="728" spans="2:2" x14ac:dyDescent="0.3">
      <c r="B728"/>
    </row>
    <row r="729" spans="2:2" x14ac:dyDescent="0.3">
      <c r="B729"/>
    </row>
    <row r="730" spans="2:2" x14ac:dyDescent="0.3">
      <c r="B730"/>
    </row>
    <row r="731" spans="2:2" x14ac:dyDescent="0.3">
      <c r="B731"/>
    </row>
    <row r="732" spans="2:2" x14ac:dyDescent="0.3">
      <c r="B732"/>
    </row>
    <row r="733" spans="2:2" x14ac:dyDescent="0.3">
      <c r="B733"/>
    </row>
    <row r="734" spans="2:2" x14ac:dyDescent="0.3">
      <c r="B734"/>
    </row>
    <row r="735" spans="2:2" x14ac:dyDescent="0.3">
      <c r="B735"/>
    </row>
    <row r="736" spans="2:2" x14ac:dyDescent="0.3">
      <c r="B736"/>
    </row>
    <row r="737" spans="2:2" x14ac:dyDescent="0.3">
      <c r="B737"/>
    </row>
    <row r="738" spans="2:2" x14ac:dyDescent="0.3">
      <c r="B738"/>
    </row>
    <row r="739" spans="2:2" x14ac:dyDescent="0.3">
      <c r="B739"/>
    </row>
    <row r="740" spans="2:2" x14ac:dyDescent="0.3">
      <c r="B740"/>
    </row>
    <row r="741" spans="2:2" x14ac:dyDescent="0.3">
      <c r="B741"/>
    </row>
    <row r="742" spans="2:2" x14ac:dyDescent="0.3">
      <c r="B742"/>
    </row>
    <row r="743" spans="2:2" x14ac:dyDescent="0.3">
      <c r="B743"/>
    </row>
    <row r="744" spans="2:2" x14ac:dyDescent="0.3">
      <c r="B744"/>
    </row>
    <row r="745" spans="2:2" x14ac:dyDescent="0.3">
      <c r="B745"/>
    </row>
    <row r="746" spans="2:2" x14ac:dyDescent="0.3">
      <c r="B746"/>
    </row>
    <row r="747" spans="2:2" x14ac:dyDescent="0.3">
      <c r="B747"/>
    </row>
    <row r="748" spans="2:2" x14ac:dyDescent="0.3">
      <c r="B748"/>
    </row>
    <row r="749" spans="2:2" x14ac:dyDescent="0.3">
      <c r="B749"/>
    </row>
    <row r="750" spans="2:2" x14ac:dyDescent="0.3">
      <c r="B750"/>
    </row>
    <row r="751" spans="2:2" x14ac:dyDescent="0.3">
      <c r="B751"/>
    </row>
    <row r="752" spans="2:2" x14ac:dyDescent="0.3">
      <c r="B752"/>
    </row>
    <row r="753" spans="2:2" x14ac:dyDescent="0.3">
      <c r="B753"/>
    </row>
    <row r="754" spans="2:2" x14ac:dyDescent="0.3">
      <c r="B754"/>
    </row>
    <row r="755" spans="2:2" x14ac:dyDescent="0.3">
      <c r="B755"/>
    </row>
    <row r="756" spans="2:2" x14ac:dyDescent="0.3">
      <c r="B756"/>
    </row>
    <row r="757" spans="2:2" x14ac:dyDescent="0.3">
      <c r="B757"/>
    </row>
    <row r="758" spans="2:2" x14ac:dyDescent="0.3">
      <c r="B758"/>
    </row>
    <row r="759" spans="2:2" x14ac:dyDescent="0.3">
      <c r="B759"/>
    </row>
    <row r="760" spans="2:2" x14ac:dyDescent="0.3">
      <c r="B760"/>
    </row>
    <row r="761" spans="2:2" x14ac:dyDescent="0.3">
      <c r="B761"/>
    </row>
    <row r="762" spans="2:2" x14ac:dyDescent="0.3">
      <c r="B762"/>
    </row>
    <row r="763" spans="2:2" x14ac:dyDescent="0.3">
      <c r="B763"/>
    </row>
    <row r="764" spans="2:2" x14ac:dyDescent="0.3">
      <c r="B764"/>
    </row>
    <row r="765" spans="2:2" x14ac:dyDescent="0.3">
      <c r="B765"/>
    </row>
    <row r="766" spans="2:2" x14ac:dyDescent="0.3">
      <c r="B766"/>
    </row>
    <row r="767" spans="2:2" x14ac:dyDescent="0.3">
      <c r="B767"/>
    </row>
    <row r="768" spans="2:2" x14ac:dyDescent="0.3">
      <c r="B768"/>
    </row>
    <row r="769" spans="2:2" x14ac:dyDescent="0.3">
      <c r="B769"/>
    </row>
    <row r="770" spans="2:2" x14ac:dyDescent="0.3">
      <c r="B770"/>
    </row>
    <row r="771" spans="2:2" x14ac:dyDescent="0.3">
      <c r="B771"/>
    </row>
    <row r="772" spans="2:2" x14ac:dyDescent="0.3">
      <c r="B772"/>
    </row>
    <row r="773" spans="2:2" x14ac:dyDescent="0.3">
      <c r="B773"/>
    </row>
    <row r="774" spans="2:2" x14ac:dyDescent="0.3">
      <c r="B774"/>
    </row>
    <row r="775" spans="2:2" x14ac:dyDescent="0.3">
      <c r="B775"/>
    </row>
    <row r="776" spans="2:2" x14ac:dyDescent="0.3">
      <c r="B776"/>
    </row>
    <row r="777" spans="2:2" x14ac:dyDescent="0.3">
      <c r="B777"/>
    </row>
    <row r="778" spans="2:2" x14ac:dyDescent="0.3">
      <c r="B778"/>
    </row>
    <row r="779" spans="2:2" x14ac:dyDescent="0.3">
      <c r="B779"/>
    </row>
    <row r="780" spans="2:2" x14ac:dyDescent="0.3">
      <c r="B780"/>
    </row>
    <row r="781" spans="2:2" x14ac:dyDescent="0.3">
      <c r="B781"/>
    </row>
    <row r="782" spans="2:2" x14ac:dyDescent="0.3">
      <c r="B782"/>
    </row>
    <row r="783" spans="2:2" x14ac:dyDescent="0.3">
      <c r="B783"/>
    </row>
    <row r="784" spans="2:2" x14ac:dyDescent="0.3">
      <c r="B784"/>
    </row>
    <row r="785" spans="2:2" x14ac:dyDescent="0.3">
      <c r="B785"/>
    </row>
    <row r="786" spans="2:2" x14ac:dyDescent="0.3">
      <c r="B786"/>
    </row>
    <row r="787" spans="2:2" x14ac:dyDescent="0.3">
      <c r="B787"/>
    </row>
    <row r="788" spans="2:2" x14ac:dyDescent="0.3">
      <c r="B788"/>
    </row>
    <row r="789" spans="2:2" x14ac:dyDescent="0.3">
      <c r="B789"/>
    </row>
    <row r="790" spans="2:2" x14ac:dyDescent="0.3">
      <c r="B790"/>
    </row>
    <row r="791" spans="2:2" x14ac:dyDescent="0.3">
      <c r="B791"/>
    </row>
    <row r="792" spans="2:2" x14ac:dyDescent="0.3">
      <c r="B792"/>
    </row>
    <row r="793" spans="2:2" x14ac:dyDescent="0.3">
      <c r="B793"/>
    </row>
    <row r="794" spans="2:2" x14ac:dyDescent="0.3">
      <c r="B794"/>
    </row>
    <row r="795" spans="2:2" x14ac:dyDescent="0.3">
      <c r="B795"/>
    </row>
    <row r="796" spans="2:2" x14ac:dyDescent="0.3">
      <c r="B796"/>
    </row>
    <row r="797" spans="2:2" x14ac:dyDescent="0.3">
      <c r="B797"/>
    </row>
    <row r="798" spans="2:2" x14ac:dyDescent="0.3">
      <c r="B798"/>
    </row>
    <row r="799" spans="2:2" x14ac:dyDescent="0.3">
      <c r="B799"/>
    </row>
    <row r="800" spans="2:2" x14ac:dyDescent="0.3">
      <c r="B800"/>
    </row>
    <row r="801" spans="2:2" x14ac:dyDescent="0.3">
      <c r="B801"/>
    </row>
    <row r="802" spans="2:2" x14ac:dyDescent="0.3">
      <c r="B802"/>
    </row>
    <row r="803" spans="2:2" x14ac:dyDescent="0.3">
      <c r="B803"/>
    </row>
    <row r="804" spans="2:2" x14ac:dyDescent="0.3">
      <c r="B804"/>
    </row>
    <row r="805" spans="2:2" x14ac:dyDescent="0.3">
      <c r="B805"/>
    </row>
    <row r="806" spans="2:2" x14ac:dyDescent="0.3">
      <c r="B806"/>
    </row>
    <row r="807" spans="2:2" x14ac:dyDescent="0.3">
      <c r="B807"/>
    </row>
    <row r="808" spans="2:2" x14ac:dyDescent="0.3">
      <c r="B808"/>
    </row>
    <row r="809" spans="2:2" x14ac:dyDescent="0.3">
      <c r="B809"/>
    </row>
    <row r="810" spans="2:2" x14ac:dyDescent="0.3">
      <c r="B810"/>
    </row>
    <row r="811" spans="2:2" x14ac:dyDescent="0.3">
      <c r="B811"/>
    </row>
    <row r="812" spans="2:2" x14ac:dyDescent="0.3">
      <c r="B812"/>
    </row>
    <row r="813" spans="2:2" x14ac:dyDescent="0.3">
      <c r="B813"/>
    </row>
    <row r="814" spans="2:2" x14ac:dyDescent="0.3">
      <c r="B814"/>
    </row>
    <row r="815" spans="2:2" x14ac:dyDescent="0.3">
      <c r="B815"/>
    </row>
    <row r="816" spans="2:2" x14ac:dyDescent="0.3">
      <c r="B816"/>
    </row>
    <row r="817" spans="2:2" x14ac:dyDescent="0.3">
      <c r="B817"/>
    </row>
    <row r="818" spans="2:2" x14ac:dyDescent="0.3">
      <c r="B818"/>
    </row>
    <row r="819" spans="2:2" x14ac:dyDescent="0.3">
      <c r="B819"/>
    </row>
    <row r="820" spans="2:2" x14ac:dyDescent="0.3">
      <c r="B820"/>
    </row>
    <row r="821" spans="2:2" x14ac:dyDescent="0.3">
      <c r="B821"/>
    </row>
    <row r="822" spans="2:2" x14ac:dyDescent="0.3">
      <c r="B822"/>
    </row>
    <row r="823" spans="2:2" x14ac:dyDescent="0.3">
      <c r="B823"/>
    </row>
    <row r="824" spans="2:2" x14ac:dyDescent="0.3">
      <c r="B824"/>
    </row>
    <row r="825" spans="2:2" x14ac:dyDescent="0.3">
      <c r="B825"/>
    </row>
    <row r="826" spans="2:2" x14ac:dyDescent="0.3">
      <c r="B826"/>
    </row>
    <row r="827" spans="2:2" x14ac:dyDescent="0.3">
      <c r="B827"/>
    </row>
    <row r="828" spans="2:2" x14ac:dyDescent="0.3">
      <c r="B828"/>
    </row>
    <row r="829" spans="2:2" x14ac:dyDescent="0.3">
      <c r="B829"/>
    </row>
    <row r="830" spans="2:2" x14ac:dyDescent="0.3">
      <c r="B830"/>
    </row>
    <row r="831" spans="2:2" x14ac:dyDescent="0.3">
      <c r="B831"/>
    </row>
    <row r="832" spans="2:2" x14ac:dyDescent="0.3">
      <c r="B832"/>
    </row>
    <row r="833" spans="2:2" x14ac:dyDescent="0.3">
      <c r="B833"/>
    </row>
    <row r="834" spans="2:2" x14ac:dyDescent="0.3">
      <c r="B834"/>
    </row>
    <row r="835" spans="2:2" x14ac:dyDescent="0.3">
      <c r="B835"/>
    </row>
    <row r="836" spans="2:2" x14ac:dyDescent="0.3">
      <c r="B836"/>
    </row>
    <row r="837" spans="2:2" x14ac:dyDescent="0.3">
      <c r="B837"/>
    </row>
    <row r="838" spans="2:2" x14ac:dyDescent="0.3">
      <c r="B838"/>
    </row>
    <row r="839" spans="2:2" x14ac:dyDescent="0.3">
      <c r="B839"/>
    </row>
    <row r="840" spans="2:2" x14ac:dyDescent="0.3">
      <c r="B840"/>
    </row>
    <row r="841" spans="2:2" x14ac:dyDescent="0.3">
      <c r="B841"/>
    </row>
    <row r="842" spans="2:2" x14ac:dyDescent="0.3">
      <c r="B842"/>
    </row>
    <row r="843" spans="2:2" x14ac:dyDescent="0.3">
      <c r="B843"/>
    </row>
    <row r="844" spans="2:2" x14ac:dyDescent="0.3">
      <c r="B844"/>
    </row>
    <row r="845" spans="2:2" x14ac:dyDescent="0.3">
      <c r="B845"/>
    </row>
    <row r="846" spans="2:2" x14ac:dyDescent="0.3">
      <c r="B846"/>
    </row>
    <row r="847" spans="2:2" x14ac:dyDescent="0.3">
      <c r="B847"/>
    </row>
    <row r="848" spans="2:2" x14ac:dyDescent="0.3">
      <c r="B848"/>
    </row>
    <row r="849" spans="2:2" x14ac:dyDescent="0.3">
      <c r="B849"/>
    </row>
    <row r="850" spans="2:2" x14ac:dyDescent="0.3">
      <c r="B850"/>
    </row>
    <row r="851" spans="2:2" x14ac:dyDescent="0.3">
      <c r="B851"/>
    </row>
    <row r="852" spans="2:2" x14ac:dyDescent="0.3">
      <c r="B852"/>
    </row>
    <row r="853" spans="2:2" x14ac:dyDescent="0.3">
      <c r="B853"/>
    </row>
    <row r="854" spans="2:2" x14ac:dyDescent="0.3">
      <c r="B854"/>
    </row>
    <row r="855" spans="2:2" x14ac:dyDescent="0.3">
      <c r="B855"/>
    </row>
    <row r="856" spans="2:2" x14ac:dyDescent="0.3">
      <c r="B856"/>
    </row>
    <row r="857" spans="2:2" x14ac:dyDescent="0.3">
      <c r="B857"/>
    </row>
    <row r="858" spans="2:2" x14ac:dyDescent="0.3">
      <c r="B858"/>
    </row>
    <row r="859" spans="2:2" x14ac:dyDescent="0.3">
      <c r="B859"/>
    </row>
    <row r="860" spans="2:2" x14ac:dyDescent="0.3">
      <c r="B860"/>
    </row>
    <row r="861" spans="2:2" x14ac:dyDescent="0.3">
      <c r="B861"/>
    </row>
    <row r="862" spans="2:2" x14ac:dyDescent="0.3">
      <c r="B862"/>
    </row>
    <row r="863" spans="2:2" x14ac:dyDescent="0.3">
      <c r="B863"/>
    </row>
    <row r="864" spans="2:2" x14ac:dyDescent="0.3">
      <c r="B864"/>
    </row>
    <row r="865" spans="2:2" x14ac:dyDescent="0.3">
      <c r="B865"/>
    </row>
    <row r="866" spans="2:2" x14ac:dyDescent="0.3">
      <c r="B866"/>
    </row>
    <row r="867" spans="2:2" x14ac:dyDescent="0.3">
      <c r="B867"/>
    </row>
    <row r="868" spans="2:2" x14ac:dyDescent="0.3">
      <c r="B868"/>
    </row>
    <row r="869" spans="2:2" x14ac:dyDescent="0.3">
      <c r="B869"/>
    </row>
    <row r="870" spans="2:2" x14ac:dyDescent="0.3">
      <c r="B870"/>
    </row>
    <row r="871" spans="2:2" x14ac:dyDescent="0.3">
      <c r="B871"/>
    </row>
    <row r="872" spans="2:2" x14ac:dyDescent="0.3">
      <c r="B872"/>
    </row>
    <row r="873" spans="2:2" x14ac:dyDescent="0.3">
      <c r="B873"/>
    </row>
    <row r="874" spans="2:2" x14ac:dyDescent="0.3">
      <c r="B874"/>
    </row>
    <row r="875" spans="2:2" x14ac:dyDescent="0.3">
      <c r="B875"/>
    </row>
    <row r="876" spans="2:2" x14ac:dyDescent="0.3">
      <c r="B876"/>
    </row>
    <row r="877" spans="2:2" x14ac:dyDescent="0.3">
      <c r="B877"/>
    </row>
    <row r="878" spans="2:2" x14ac:dyDescent="0.3">
      <c r="B878"/>
    </row>
    <row r="879" spans="2:2" x14ac:dyDescent="0.3">
      <c r="B879"/>
    </row>
    <row r="880" spans="2:2" x14ac:dyDescent="0.3">
      <c r="B880"/>
    </row>
    <row r="881" spans="2:2" x14ac:dyDescent="0.3">
      <c r="B881"/>
    </row>
    <row r="882" spans="2:2" x14ac:dyDescent="0.3">
      <c r="B882"/>
    </row>
    <row r="883" spans="2:2" x14ac:dyDescent="0.3">
      <c r="B883"/>
    </row>
    <row r="884" spans="2:2" x14ac:dyDescent="0.3">
      <c r="B884"/>
    </row>
    <row r="885" spans="2:2" x14ac:dyDescent="0.3">
      <c r="B885"/>
    </row>
    <row r="886" spans="2:2" x14ac:dyDescent="0.3">
      <c r="B886"/>
    </row>
    <row r="887" spans="2:2" x14ac:dyDescent="0.3">
      <c r="B887"/>
    </row>
    <row r="888" spans="2:2" x14ac:dyDescent="0.3">
      <c r="B888"/>
    </row>
    <row r="889" spans="2:2" x14ac:dyDescent="0.3">
      <c r="B889"/>
    </row>
    <row r="890" spans="2:2" x14ac:dyDescent="0.3">
      <c r="B890"/>
    </row>
    <row r="891" spans="2:2" x14ac:dyDescent="0.3">
      <c r="B891"/>
    </row>
    <row r="892" spans="2:2" x14ac:dyDescent="0.3">
      <c r="B892"/>
    </row>
    <row r="893" spans="2:2" x14ac:dyDescent="0.3">
      <c r="B893"/>
    </row>
    <row r="894" spans="2:2" x14ac:dyDescent="0.3">
      <c r="B894"/>
    </row>
    <row r="895" spans="2:2" x14ac:dyDescent="0.3">
      <c r="B895"/>
    </row>
    <row r="896" spans="2:2" x14ac:dyDescent="0.3">
      <c r="B896"/>
    </row>
    <row r="897" spans="2:2" x14ac:dyDescent="0.3">
      <c r="B897"/>
    </row>
    <row r="898" spans="2:2" x14ac:dyDescent="0.3">
      <c r="B898"/>
    </row>
    <row r="899" spans="2:2" x14ac:dyDescent="0.3">
      <c r="B899"/>
    </row>
    <row r="900" spans="2:2" x14ac:dyDescent="0.3">
      <c r="B900"/>
    </row>
    <row r="901" spans="2:2" x14ac:dyDescent="0.3">
      <c r="B901"/>
    </row>
    <row r="902" spans="2:2" x14ac:dyDescent="0.3">
      <c r="B902"/>
    </row>
    <row r="903" spans="2:2" x14ac:dyDescent="0.3">
      <c r="B903"/>
    </row>
    <row r="904" spans="2:2" x14ac:dyDescent="0.3">
      <c r="B904"/>
    </row>
    <row r="905" spans="2:2" x14ac:dyDescent="0.3">
      <c r="B905"/>
    </row>
    <row r="906" spans="2:2" x14ac:dyDescent="0.3">
      <c r="B906"/>
    </row>
    <row r="907" spans="2:2" x14ac:dyDescent="0.3">
      <c r="B907"/>
    </row>
    <row r="908" spans="2:2" x14ac:dyDescent="0.3">
      <c r="B908"/>
    </row>
    <row r="909" spans="2:2" x14ac:dyDescent="0.3">
      <c r="B909"/>
    </row>
    <row r="910" spans="2:2" x14ac:dyDescent="0.3">
      <c r="B910"/>
    </row>
    <row r="911" spans="2:2" x14ac:dyDescent="0.3">
      <c r="B911"/>
    </row>
    <row r="912" spans="2:2" x14ac:dyDescent="0.3">
      <c r="B912"/>
    </row>
    <row r="913" spans="2:2" x14ac:dyDescent="0.3">
      <c r="B913"/>
    </row>
    <row r="914" spans="2:2" x14ac:dyDescent="0.3">
      <c r="B914"/>
    </row>
    <row r="915" spans="2:2" x14ac:dyDescent="0.3">
      <c r="B915"/>
    </row>
    <row r="916" spans="2:2" x14ac:dyDescent="0.3">
      <c r="B916"/>
    </row>
    <row r="917" spans="2:2" x14ac:dyDescent="0.3">
      <c r="B917"/>
    </row>
    <row r="918" spans="2:2" x14ac:dyDescent="0.3">
      <c r="B918"/>
    </row>
    <row r="919" spans="2:2" x14ac:dyDescent="0.3">
      <c r="B919"/>
    </row>
    <row r="920" spans="2:2" x14ac:dyDescent="0.3">
      <c r="B920"/>
    </row>
    <row r="921" spans="2:2" x14ac:dyDescent="0.3">
      <c r="B921"/>
    </row>
    <row r="922" spans="2:2" x14ac:dyDescent="0.3">
      <c r="B922"/>
    </row>
    <row r="923" spans="2:2" x14ac:dyDescent="0.3">
      <c r="B923"/>
    </row>
    <row r="924" spans="2:2" x14ac:dyDescent="0.3">
      <c r="B924"/>
    </row>
    <row r="925" spans="2:2" x14ac:dyDescent="0.3">
      <c r="B925"/>
    </row>
    <row r="926" spans="2:2" x14ac:dyDescent="0.3">
      <c r="B926"/>
    </row>
    <row r="927" spans="2:2" x14ac:dyDescent="0.3">
      <c r="B927"/>
    </row>
    <row r="928" spans="2:2" x14ac:dyDescent="0.3">
      <c r="B928"/>
    </row>
    <row r="929" spans="2:2" x14ac:dyDescent="0.3">
      <c r="B929"/>
    </row>
    <row r="930" spans="2:2" x14ac:dyDescent="0.3">
      <c r="B930"/>
    </row>
    <row r="931" spans="2:2" x14ac:dyDescent="0.3">
      <c r="B931"/>
    </row>
    <row r="932" spans="2:2" x14ac:dyDescent="0.3">
      <c r="B932"/>
    </row>
    <row r="933" spans="2:2" x14ac:dyDescent="0.3">
      <c r="B933"/>
    </row>
    <row r="934" spans="2:2" x14ac:dyDescent="0.3">
      <c r="B934"/>
    </row>
    <row r="935" spans="2:2" x14ac:dyDescent="0.3">
      <c r="B935"/>
    </row>
    <row r="936" spans="2:2" x14ac:dyDescent="0.3">
      <c r="B936"/>
    </row>
    <row r="937" spans="2:2" x14ac:dyDescent="0.3">
      <c r="B937"/>
    </row>
    <row r="938" spans="2:2" x14ac:dyDescent="0.3">
      <c r="B938"/>
    </row>
    <row r="939" spans="2:2" x14ac:dyDescent="0.3">
      <c r="B939"/>
    </row>
    <row r="940" spans="2:2" x14ac:dyDescent="0.3">
      <c r="B940"/>
    </row>
    <row r="941" spans="2:2" x14ac:dyDescent="0.3">
      <c r="B941"/>
    </row>
    <row r="942" spans="2:2" x14ac:dyDescent="0.3">
      <c r="B942"/>
    </row>
    <row r="943" spans="2:2" x14ac:dyDescent="0.3">
      <c r="B943"/>
    </row>
    <row r="944" spans="2:2" x14ac:dyDescent="0.3">
      <c r="B944"/>
    </row>
    <row r="945" spans="2:2" x14ac:dyDescent="0.3">
      <c r="B945"/>
    </row>
    <row r="946" spans="2:2" x14ac:dyDescent="0.3">
      <c r="B946"/>
    </row>
    <row r="947" spans="2:2" x14ac:dyDescent="0.3">
      <c r="B947"/>
    </row>
    <row r="948" spans="2:2" x14ac:dyDescent="0.3">
      <c r="B948"/>
    </row>
    <row r="949" spans="2:2" x14ac:dyDescent="0.3">
      <c r="B949"/>
    </row>
    <row r="950" spans="2:2" x14ac:dyDescent="0.3">
      <c r="B950"/>
    </row>
    <row r="951" spans="2:2" x14ac:dyDescent="0.3">
      <c r="B951"/>
    </row>
    <row r="952" spans="2:2" x14ac:dyDescent="0.3">
      <c r="B952"/>
    </row>
    <row r="953" spans="2:2" x14ac:dyDescent="0.3">
      <c r="B953"/>
    </row>
    <row r="954" spans="2:2" x14ac:dyDescent="0.3">
      <c r="B954"/>
    </row>
    <row r="955" spans="2:2" x14ac:dyDescent="0.3">
      <c r="B955"/>
    </row>
    <row r="956" spans="2:2" x14ac:dyDescent="0.3">
      <c r="B956"/>
    </row>
    <row r="957" spans="2:2" x14ac:dyDescent="0.3">
      <c r="B957"/>
    </row>
    <row r="958" spans="2:2" x14ac:dyDescent="0.3">
      <c r="B958"/>
    </row>
    <row r="959" spans="2:2" x14ac:dyDescent="0.3">
      <c r="B959"/>
    </row>
    <row r="960" spans="2:2" x14ac:dyDescent="0.3">
      <c r="B960"/>
    </row>
    <row r="961" spans="2:2" x14ac:dyDescent="0.3">
      <c r="B961"/>
    </row>
    <row r="962" spans="2:2" x14ac:dyDescent="0.3">
      <c r="B962"/>
    </row>
    <row r="963" spans="2:2" x14ac:dyDescent="0.3">
      <c r="B963"/>
    </row>
    <row r="964" spans="2:2" x14ac:dyDescent="0.3">
      <c r="B964"/>
    </row>
    <row r="965" spans="2:2" x14ac:dyDescent="0.3">
      <c r="B965"/>
    </row>
    <row r="966" spans="2:2" x14ac:dyDescent="0.3">
      <c r="B966"/>
    </row>
    <row r="967" spans="2:2" x14ac:dyDescent="0.3">
      <c r="B967"/>
    </row>
    <row r="968" spans="2:2" x14ac:dyDescent="0.3">
      <c r="B968"/>
    </row>
    <row r="969" spans="2:2" x14ac:dyDescent="0.3">
      <c r="B969"/>
    </row>
    <row r="970" spans="2:2" x14ac:dyDescent="0.3">
      <c r="B970"/>
    </row>
    <row r="971" spans="2:2" x14ac:dyDescent="0.3">
      <c r="B971"/>
    </row>
    <row r="972" spans="2:2" x14ac:dyDescent="0.3">
      <c r="B972"/>
    </row>
    <row r="973" spans="2:2" x14ac:dyDescent="0.3">
      <c r="B973"/>
    </row>
    <row r="974" spans="2:2" x14ac:dyDescent="0.3">
      <c r="B974"/>
    </row>
    <row r="975" spans="2:2" x14ac:dyDescent="0.3">
      <c r="B975"/>
    </row>
    <row r="976" spans="2:2" x14ac:dyDescent="0.3">
      <c r="B976"/>
    </row>
    <row r="977" spans="2:2" x14ac:dyDescent="0.3">
      <c r="B977"/>
    </row>
    <row r="978" spans="2:2" x14ac:dyDescent="0.3">
      <c r="B978"/>
    </row>
    <row r="979" spans="2:2" x14ac:dyDescent="0.3">
      <c r="B979"/>
    </row>
    <row r="980" spans="2:2" x14ac:dyDescent="0.3">
      <c r="B980"/>
    </row>
    <row r="981" spans="2:2" x14ac:dyDescent="0.3">
      <c r="B981"/>
    </row>
    <row r="982" spans="2:2" x14ac:dyDescent="0.3">
      <c r="B982"/>
    </row>
    <row r="983" spans="2:2" x14ac:dyDescent="0.3">
      <c r="B983"/>
    </row>
    <row r="984" spans="2:2" x14ac:dyDescent="0.3">
      <c r="B984"/>
    </row>
    <row r="985" spans="2:2" x14ac:dyDescent="0.3">
      <c r="B985"/>
    </row>
    <row r="986" spans="2:2" x14ac:dyDescent="0.3">
      <c r="B986"/>
    </row>
    <row r="987" spans="2:2" x14ac:dyDescent="0.3">
      <c r="B987"/>
    </row>
    <row r="988" spans="2:2" x14ac:dyDescent="0.3">
      <c r="B988"/>
    </row>
    <row r="989" spans="2:2" x14ac:dyDescent="0.3">
      <c r="B989"/>
    </row>
    <row r="990" spans="2:2" x14ac:dyDescent="0.3">
      <c r="B990"/>
    </row>
    <row r="991" spans="2:2" x14ac:dyDescent="0.3">
      <c r="B991"/>
    </row>
    <row r="992" spans="2:2" x14ac:dyDescent="0.3">
      <c r="B992"/>
    </row>
    <row r="993" spans="2:2" x14ac:dyDescent="0.3">
      <c r="B993"/>
    </row>
    <row r="994" spans="2:2" x14ac:dyDescent="0.3">
      <c r="B994"/>
    </row>
    <row r="995" spans="2:2" x14ac:dyDescent="0.3">
      <c r="B995"/>
    </row>
    <row r="996" spans="2:2" x14ac:dyDescent="0.3">
      <c r="B996"/>
    </row>
    <row r="997" spans="2:2" x14ac:dyDescent="0.3">
      <c r="B997"/>
    </row>
    <row r="998" spans="2:2" x14ac:dyDescent="0.3">
      <c r="B998"/>
    </row>
    <row r="999" spans="2:2" x14ac:dyDescent="0.3">
      <c r="B999"/>
    </row>
    <row r="1000" spans="2:2" x14ac:dyDescent="0.3">
      <c r="B1000"/>
    </row>
    <row r="1001" spans="2:2" x14ac:dyDescent="0.3">
      <c r="B1001"/>
    </row>
    <row r="1002" spans="2:2" x14ac:dyDescent="0.3">
      <c r="B1002"/>
    </row>
    <row r="1003" spans="2:2" x14ac:dyDescent="0.3">
      <c r="B1003"/>
    </row>
    <row r="1004" spans="2:2" x14ac:dyDescent="0.3">
      <c r="B1004"/>
    </row>
    <row r="1005" spans="2:2" x14ac:dyDescent="0.3">
      <c r="B1005"/>
    </row>
    <row r="1006" spans="2:2" x14ac:dyDescent="0.3">
      <c r="B1006"/>
    </row>
    <row r="1007" spans="2:2" x14ac:dyDescent="0.3">
      <c r="B1007"/>
    </row>
    <row r="1008" spans="2:2" x14ac:dyDescent="0.3">
      <c r="B1008"/>
    </row>
    <row r="1009" spans="2:2" x14ac:dyDescent="0.3">
      <c r="B1009"/>
    </row>
    <row r="1010" spans="2:2" x14ac:dyDescent="0.3">
      <c r="B1010"/>
    </row>
    <row r="1011" spans="2:2" x14ac:dyDescent="0.3">
      <c r="B1011"/>
    </row>
    <row r="1012" spans="2:2" x14ac:dyDescent="0.3">
      <c r="B1012"/>
    </row>
    <row r="1013" spans="2:2" x14ac:dyDescent="0.3">
      <c r="B1013"/>
    </row>
    <row r="1014" spans="2:2" x14ac:dyDescent="0.3">
      <c r="B1014"/>
    </row>
    <row r="1015" spans="2:2" x14ac:dyDescent="0.3">
      <c r="B1015"/>
    </row>
    <row r="1016" spans="2:2" x14ac:dyDescent="0.3">
      <c r="B1016"/>
    </row>
    <row r="1017" spans="2:2" x14ac:dyDescent="0.3">
      <c r="B1017"/>
    </row>
    <row r="1018" spans="2:2" x14ac:dyDescent="0.3">
      <c r="B1018"/>
    </row>
    <row r="1019" spans="2:2" x14ac:dyDescent="0.3">
      <c r="B1019"/>
    </row>
    <row r="1020" spans="2:2" x14ac:dyDescent="0.3">
      <c r="B1020"/>
    </row>
    <row r="1021" spans="2:2" x14ac:dyDescent="0.3">
      <c r="B1021"/>
    </row>
    <row r="1022" spans="2:2" x14ac:dyDescent="0.3">
      <c r="B1022"/>
    </row>
    <row r="1023" spans="2:2" x14ac:dyDescent="0.3">
      <c r="B1023"/>
    </row>
    <row r="1024" spans="2:2" x14ac:dyDescent="0.3">
      <c r="B1024"/>
    </row>
    <row r="1025" spans="2:2" x14ac:dyDescent="0.3">
      <c r="B1025"/>
    </row>
    <row r="1026" spans="2:2" x14ac:dyDescent="0.3">
      <c r="B1026"/>
    </row>
    <row r="1027" spans="2:2" x14ac:dyDescent="0.3">
      <c r="B1027"/>
    </row>
    <row r="1028" spans="2:2" x14ac:dyDescent="0.3">
      <c r="B1028"/>
    </row>
    <row r="1029" spans="2:2" x14ac:dyDescent="0.3">
      <c r="B1029"/>
    </row>
    <row r="1030" spans="2:2" x14ac:dyDescent="0.3">
      <c r="B1030"/>
    </row>
    <row r="1031" spans="2:2" x14ac:dyDescent="0.3">
      <c r="B1031"/>
    </row>
    <row r="1032" spans="2:2" x14ac:dyDescent="0.3">
      <c r="B1032"/>
    </row>
    <row r="1033" spans="2:2" x14ac:dyDescent="0.3">
      <c r="B1033"/>
    </row>
    <row r="1034" spans="2:2" x14ac:dyDescent="0.3">
      <c r="B1034"/>
    </row>
    <row r="1035" spans="2:2" x14ac:dyDescent="0.3">
      <c r="B1035"/>
    </row>
    <row r="1036" spans="2:2" x14ac:dyDescent="0.3">
      <c r="B1036"/>
    </row>
    <row r="1037" spans="2:2" x14ac:dyDescent="0.3">
      <c r="B1037"/>
    </row>
    <row r="1038" spans="2:2" x14ac:dyDescent="0.3">
      <c r="B1038"/>
    </row>
    <row r="1039" spans="2:2" x14ac:dyDescent="0.3">
      <c r="B1039"/>
    </row>
    <row r="1040" spans="2:2" x14ac:dyDescent="0.3">
      <c r="B1040"/>
    </row>
    <row r="1041" spans="2:2" x14ac:dyDescent="0.3">
      <c r="B1041"/>
    </row>
    <row r="1042" spans="2:2" x14ac:dyDescent="0.3">
      <c r="B1042"/>
    </row>
    <row r="1043" spans="2:2" x14ac:dyDescent="0.3">
      <c r="B1043"/>
    </row>
    <row r="1044" spans="2:2" x14ac:dyDescent="0.3">
      <c r="B1044"/>
    </row>
    <row r="1045" spans="2:2" x14ac:dyDescent="0.3">
      <c r="B1045"/>
    </row>
    <row r="1046" spans="2:2" x14ac:dyDescent="0.3">
      <c r="B1046"/>
    </row>
    <row r="1047" spans="2:2" x14ac:dyDescent="0.3">
      <c r="B1047"/>
    </row>
    <row r="1048" spans="2:2" x14ac:dyDescent="0.3">
      <c r="B1048"/>
    </row>
    <row r="1049" spans="2:2" x14ac:dyDescent="0.3">
      <c r="B1049"/>
    </row>
    <row r="1050" spans="2:2" x14ac:dyDescent="0.3">
      <c r="B1050"/>
    </row>
    <row r="1051" spans="2:2" x14ac:dyDescent="0.3">
      <c r="B1051"/>
    </row>
    <row r="1052" spans="2:2" x14ac:dyDescent="0.3">
      <c r="B1052"/>
    </row>
    <row r="1053" spans="2:2" x14ac:dyDescent="0.3">
      <c r="B1053"/>
    </row>
    <row r="1054" spans="2:2" x14ac:dyDescent="0.3">
      <c r="B1054"/>
    </row>
    <row r="1055" spans="2:2" x14ac:dyDescent="0.3">
      <c r="B1055"/>
    </row>
    <row r="1056" spans="2:2" x14ac:dyDescent="0.3">
      <c r="B1056"/>
    </row>
    <row r="1057" spans="2:2" x14ac:dyDescent="0.3">
      <c r="B1057"/>
    </row>
    <row r="1058" spans="2:2" x14ac:dyDescent="0.3">
      <c r="B1058"/>
    </row>
    <row r="1059" spans="2:2" x14ac:dyDescent="0.3">
      <c r="B1059"/>
    </row>
    <row r="1060" spans="2:2" x14ac:dyDescent="0.3">
      <c r="B1060"/>
    </row>
    <row r="1061" spans="2:2" x14ac:dyDescent="0.3">
      <c r="B1061"/>
    </row>
    <row r="1062" spans="2:2" x14ac:dyDescent="0.3">
      <c r="B1062"/>
    </row>
    <row r="1063" spans="2:2" x14ac:dyDescent="0.3">
      <c r="B1063"/>
    </row>
    <row r="1064" spans="2:2" x14ac:dyDescent="0.3">
      <c r="B1064"/>
    </row>
    <row r="1065" spans="2:2" x14ac:dyDescent="0.3">
      <c r="B1065"/>
    </row>
    <row r="1066" spans="2:2" x14ac:dyDescent="0.3">
      <c r="B1066"/>
    </row>
    <row r="1067" spans="2:2" x14ac:dyDescent="0.3">
      <c r="B1067"/>
    </row>
    <row r="1068" spans="2:2" x14ac:dyDescent="0.3">
      <c r="B1068"/>
    </row>
    <row r="1069" spans="2:2" x14ac:dyDescent="0.3">
      <c r="B1069"/>
    </row>
    <row r="1070" spans="2:2" x14ac:dyDescent="0.3">
      <c r="B1070"/>
    </row>
    <row r="1071" spans="2:2" x14ac:dyDescent="0.3">
      <c r="B1071"/>
    </row>
    <row r="1072" spans="2:2" x14ac:dyDescent="0.3">
      <c r="B1072"/>
    </row>
    <row r="1073" spans="2:2" x14ac:dyDescent="0.3">
      <c r="B1073"/>
    </row>
    <row r="1074" spans="2:2" x14ac:dyDescent="0.3">
      <c r="B1074"/>
    </row>
    <row r="1075" spans="2:2" x14ac:dyDescent="0.3">
      <c r="B1075"/>
    </row>
    <row r="1076" spans="2:2" x14ac:dyDescent="0.3">
      <c r="B1076"/>
    </row>
    <row r="1077" spans="2:2" x14ac:dyDescent="0.3">
      <c r="B1077"/>
    </row>
    <row r="1078" spans="2:2" x14ac:dyDescent="0.3">
      <c r="B1078"/>
    </row>
    <row r="1079" spans="2:2" x14ac:dyDescent="0.3">
      <c r="B1079"/>
    </row>
    <row r="1080" spans="2:2" x14ac:dyDescent="0.3">
      <c r="B1080"/>
    </row>
    <row r="1081" spans="2:2" x14ac:dyDescent="0.3">
      <c r="B1081"/>
    </row>
    <row r="1082" spans="2:2" x14ac:dyDescent="0.3">
      <c r="B1082"/>
    </row>
    <row r="1083" spans="2:2" x14ac:dyDescent="0.3">
      <c r="B1083"/>
    </row>
    <row r="1084" spans="2:2" x14ac:dyDescent="0.3">
      <c r="B1084"/>
    </row>
    <row r="1085" spans="2:2" x14ac:dyDescent="0.3">
      <c r="B1085"/>
    </row>
    <row r="1086" spans="2:2" x14ac:dyDescent="0.3">
      <c r="B1086"/>
    </row>
    <row r="1087" spans="2:2" x14ac:dyDescent="0.3">
      <c r="B1087"/>
    </row>
    <row r="1088" spans="2:2" x14ac:dyDescent="0.3">
      <c r="B1088"/>
    </row>
    <row r="1089" spans="2:2" x14ac:dyDescent="0.3">
      <c r="B1089"/>
    </row>
    <row r="1090" spans="2:2" x14ac:dyDescent="0.3">
      <c r="B1090"/>
    </row>
    <row r="1091" spans="2:2" x14ac:dyDescent="0.3">
      <c r="B1091"/>
    </row>
    <row r="1092" spans="2:2" x14ac:dyDescent="0.3">
      <c r="B1092"/>
    </row>
    <row r="1093" spans="2:2" x14ac:dyDescent="0.3">
      <c r="B1093"/>
    </row>
    <row r="1094" spans="2:2" x14ac:dyDescent="0.3">
      <c r="B1094"/>
    </row>
    <row r="1095" spans="2:2" x14ac:dyDescent="0.3">
      <c r="B1095"/>
    </row>
    <row r="1096" spans="2:2" x14ac:dyDescent="0.3">
      <c r="B1096"/>
    </row>
    <row r="1097" spans="2:2" x14ac:dyDescent="0.3">
      <c r="B1097"/>
    </row>
    <row r="1098" spans="2:2" x14ac:dyDescent="0.3">
      <c r="B1098"/>
    </row>
    <row r="1099" spans="2:2" x14ac:dyDescent="0.3">
      <c r="B1099"/>
    </row>
    <row r="1100" spans="2:2" x14ac:dyDescent="0.3">
      <c r="B1100"/>
    </row>
    <row r="1101" spans="2:2" x14ac:dyDescent="0.3">
      <c r="B1101"/>
    </row>
    <row r="1102" spans="2:2" x14ac:dyDescent="0.3">
      <c r="B1102"/>
    </row>
    <row r="1103" spans="2:2" x14ac:dyDescent="0.3">
      <c r="B1103"/>
    </row>
    <row r="1104" spans="2:2" x14ac:dyDescent="0.3">
      <c r="B1104"/>
    </row>
    <row r="1105" spans="2:2" x14ac:dyDescent="0.3">
      <c r="B1105"/>
    </row>
    <row r="1106" spans="2:2" x14ac:dyDescent="0.3">
      <c r="B1106"/>
    </row>
    <row r="1107" spans="2:2" x14ac:dyDescent="0.3">
      <c r="B1107"/>
    </row>
    <row r="1108" spans="2:2" x14ac:dyDescent="0.3">
      <c r="B1108"/>
    </row>
    <row r="1109" spans="2:2" x14ac:dyDescent="0.3">
      <c r="B1109"/>
    </row>
    <row r="1110" spans="2:2" x14ac:dyDescent="0.3">
      <c r="B1110"/>
    </row>
    <row r="1111" spans="2:2" x14ac:dyDescent="0.3">
      <c r="B1111"/>
    </row>
    <row r="1112" spans="2:2" x14ac:dyDescent="0.3">
      <c r="B1112"/>
    </row>
    <row r="1113" spans="2:2" x14ac:dyDescent="0.3">
      <c r="B1113"/>
    </row>
    <row r="1114" spans="2:2" x14ac:dyDescent="0.3">
      <c r="B1114"/>
    </row>
    <row r="1115" spans="2:2" x14ac:dyDescent="0.3">
      <c r="B1115"/>
    </row>
    <row r="1116" spans="2:2" x14ac:dyDescent="0.3">
      <c r="B1116"/>
    </row>
    <row r="1117" spans="2:2" x14ac:dyDescent="0.3">
      <c r="B1117"/>
    </row>
    <row r="1118" spans="2:2" x14ac:dyDescent="0.3">
      <c r="B1118"/>
    </row>
    <row r="1119" spans="2:2" x14ac:dyDescent="0.3">
      <c r="B1119"/>
    </row>
    <row r="1120" spans="2:2" x14ac:dyDescent="0.3">
      <c r="B1120"/>
    </row>
    <row r="1121" spans="2:2" x14ac:dyDescent="0.3">
      <c r="B1121"/>
    </row>
    <row r="1122" spans="2:2" x14ac:dyDescent="0.3">
      <c r="B1122"/>
    </row>
    <row r="1123" spans="2:2" x14ac:dyDescent="0.3">
      <c r="B1123"/>
    </row>
    <row r="1124" spans="2:2" x14ac:dyDescent="0.3">
      <c r="B1124"/>
    </row>
    <row r="1125" spans="2:2" x14ac:dyDescent="0.3">
      <c r="B1125"/>
    </row>
    <row r="1126" spans="2:2" x14ac:dyDescent="0.3">
      <c r="B1126"/>
    </row>
    <row r="1127" spans="2:2" x14ac:dyDescent="0.3">
      <c r="B1127"/>
    </row>
    <row r="1128" spans="2:2" x14ac:dyDescent="0.3">
      <c r="B1128"/>
    </row>
    <row r="1129" spans="2:2" x14ac:dyDescent="0.3">
      <c r="B1129"/>
    </row>
    <row r="1130" spans="2:2" x14ac:dyDescent="0.3">
      <c r="B1130"/>
    </row>
    <row r="1131" spans="2:2" x14ac:dyDescent="0.3">
      <c r="B1131"/>
    </row>
    <row r="1132" spans="2:2" x14ac:dyDescent="0.3">
      <c r="B1132"/>
    </row>
    <row r="1133" spans="2:2" x14ac:dyDescent="0.3">
      <c r="B1133"/>
    </row>
    <row r="1134" spans="2:2" x14ac:dyDescent="0.3">
      <c r="B1134"/>
    </row>
    <row r="1135" spans="2:2" x14ac:dyDescent="0.3">
      <c r="B1135"/>
    </row>
    <row r="1136" spans="2:2" x14ac:dyDescent="0.3">
      <c r="B1136"/>
    </row>
    <row r="1137" spans="2:2" x14ac:dyDescent="0.3">
      <c r="B1137"/>
    </row>
    <row r="1138" spans="2:2" x14ac:dyDescent="0.3">
      <c r="B1138"/>
    </row>
    <row r="1139" spans="2:2" x14ac:dyDescent="0.3">
      <c r="B1139"/>
    </row>
    <row r="1140" spans="2:2" x14ac:dyDescent="0.3">
      <c r="B1140"/>
    </row>
    <row r="1141" spans="2:2" x14ac:dyDescent="0.3">
      <c r="B1141"/>
    </row>
    <row r="1142" spans="2:2" x14ac:dyDescent="0.3">
      <c r="B1142"/>
    </row>
    <row r="1143" spans="2:2" x14ac:dyDescent="0.3">
      <c r="B1143"/>
    </row>
    <row r="1144" spans="2:2" x14ac:dyDescent="0.3">
      <c r="B1144"/>
    </row>
    <row r="1145" spans="2:2" x14ac:dyDescent="0.3">
      <c r="B1145"/>
    </row>
    <row r="1146" spans="2:2" x14ac:dyDescent="0.3">
      <c r="B1146"/>
    </row>
    <row r="1147" spans="2:2" x14ac:dyDescent="0.3">
      <c r="B1147"/>
    </row>
    <row r="1148" spans="2:2" x14ac:dyDescent="0.3">
      <c r="B1148"/>
    </row>
    <row r="1149" spans="2:2" x14ac:dyDescent="0.3">
      <c r="B1149"/>
    </row>
    <row r="1150" spans="2:2" x14ac:dyDescent="0.3">
      <c r="B1150"/>
    </row>
    <row r="1151" spans="2:2" x14ac:dyDescent="0.3">
      <c r="B1151"/>
    </row>
    <row r="1152" spans="2:2" x14ac:dyDescent="0.3">
      <c r="B1152"/>
    </row>
    <row r="1153" spans="2:2" x14ac:dyDescent="0.3">
      <c r="B1153"/>
    </row>
    <row r="1154" spans="2:2" x14ac:dyDescent="0.3">
      <c r="B1154"/>
    </row>
    <row r="1155" spans="2:2" x14ac:dyDescent="0.3">
      <c r="B1155"/>
    </row>
    <row r="1156" spans="2:2" x14ac:dyDescent="0.3">
      <c r="B1156"/>
    </row>
    <row r="1157" spans="2:2" x14ac:dyDescent="0.3">
      <c r="B1157"/>
    </row>
    <row r="1158" spans="2:2" x14ac:dyDescent="0.3">
      <c r="B1158"/>
    </row>
    <row r="1159" spans="2:2" x14ac:dyDescent="0.3">
      <c r="B1159"/>
    </row>
    <row r="1160" spans="2:2" x14ac:dyDescent="0.3">
      <c r="B1160"/>
    </row>
    <row r="1161" spans="2:2" x14ac:dyDescent="0.3">
      <c r="B1161"/>
    </row>
    <row r="1162" spans="2:2" x14ac:dyDescent="0.3">
      <c r="B1162"/>
    </row>
    <row r="1163" spans="2:2" x14ac:dyDescent="0.3">
      <c r="B1163"/>
    </row>
    <row r="1164" spans="2:2" x14ac:dyDescent="0.3">
      <c r="B1164"/>
    </row>
    <row r="1165" spans="2:2" x14ac:dyDescent="0.3">
      <c r="B1165"/>
    </row>
    <row r="1166" spans="2:2" x14ac:dyDescent="0.3">
      <c r="B1166"/>
    </row>
    <row r="1167" spans="2:2" x14ac:dyDescent="0.3">
      <c r="B1167"/>
    </row>
    <row r="1168" spans="2:2" x14ac:dyDescent="0.3">
      <c r="B1168"/>
    </row>
    <row r="1169" spans="2:2" x14ac:dyDescent="0.3">
      <c r="B1169"/>
    </row>
    <row r="1170" spans="2:2" x14ac:dyDescent="0.3">
      <c r="B1170"/>
    </row>
    <row r="1171" spans="2:2" x14ac:dyDescent="0.3">
      <c r="B1171"/>
    </row>
    <row r="1172" spans="2:2" x14ac:dyDescent="0.3">
      <c r="B1172"/>
    </row>
    <row r="1173" spans="2:2" x14ac:dyDescent="0.3">
      <c r="B1173"/>
    </row>
    <row r="1174" spans="2:2" x14ac:dyDescent="0.3">
      <c r="B1174"/>
    </row>
    <row r="1175" spans="2:2" x14ac:dyDescent="0.3">
      <c r="B1175"/>
    </row>
    <row r="1176" spans="2:2" x14ac:dyDescent="0.3">
      <c r="B1176"/>
    </row>
    <row r="1177" spans="2:2" x14ac:dyDescent="0.3">
      <c r="B1177"/>
    </row>
    <row r="1178" spans="2:2" x14ac:dyDescent="0.3">
      <c r="B1178"/>
    </row>
    <row r="1179" spans="2:2" x14ac:dyDescent="0.3">
      <c r="B1179"/>
    </row>
    <row r="1180" spans="2:2" x14ac:dyDescent="0.3">
      <c r="B1180"/>
    </row>
    <row r="1181" spans="2:2" x14ac:dyDescent="0.3">
      <c r="B1181"/>
    </row>
    <row r="1182" spans="2:2" x14ac:dyDescent="0.3">
      <c r="B1182"/>
    </row>
    <row r="1183" spans="2:2" x14ac:dyDescent="0.3">
      <c r="B1183"/>
    </row>
    <row r="1184" spans="2:2" x14ac:dyDescent="0.3">
      <c r="B1184"/>
    </row>
    <row r="1185" spans="2:2" x14ac:dyDescent="0.3">
      <c r="B1185"/>
    </row>
    <row r="1186" spans="2:2" x14ac:dyDescent="0.3">
      <c r="B1186"/>
    </row>
    <row r="1187" spans="2:2" x14ac:dyDescent="0.3">
      <c r="B1187"/>
    </row>
    <row r="1188" spans="2:2" x14ac:dyDescent="0.3">
      <c r="B1188"/>
    </row>
    <row r="1189" spans="2:2" x14ac:dyDescent="0.3">
      <c r="B1189"/>
    </row>
    <row r="1190" spans="2:2" x14ac:dyDescent="0.3">
      <c r="B1190"/>
    </row>
    <row r="1191" spans="2:2" x14ac:dyDescent="0.3">
      <c r="B1191"/>
    </row>
    <row r="1192" spans="2:2" x14ac:dyDescent="0.3">
      <c r="B1192"/>
    </row>
    <row r="1193" spans="2:2" x14ac:dyDescent="0.3">
      <c r="B1193"/>
    </row>
    <row r="1194" spans="2:2" x14ac:dyDescent="0.3">
      <c r="B1194"/>
    </row>
    <row r="1195" spans="2:2" x14ac:dyDescent="0.3">
      <c r="B1195"/>
    </row>
    <row r="1196" spans="2:2" x14ac:dyDescent="0.3">
      <c r="B1196"/>
    </row>
    <row r="1197" spans="2:2" x14ac:dyDescent="0.3">
      <c r="B1197"/>
    </row>
    <row r="1198" spans="2:2" x14ac:dyDescent="0.3">
      <c r="B1198"/>
    </row>
    <row r="1199" spans="2:2" x14ac:dyDescent="0.3">
      <c r="B1199"/>
    </row>
    <row r="1200" spans="2:2" x14ac:dyDescent="0.3">
      <c r="B1200"/>
    </row>
    <row r="1201" spans="2:2" x14ac:dyDescent="0.3">
      <c r="B1201"/>
    </row>
    <row r="1202" spans="2:2" x14ac:dyDescent="0.3">
      <c r="B1202"/>
    </row>
    <row r="1203" spans="2:2" x14ac:dyDescent="0.3">
      <c r="B1203"/>
    </row>
    <row r="1204" spans="2:2" x14ac:dyDescent="0.3">
      <c r="B1204"/>
    </row>
    <row r="1205" spans="2:2" x14ac:dyDescent="0.3">
      <c r="B1205"/>
    </row>
    <row r="1206" spans="2:2" x14ac:dyDescent="0.3">
      <c r="B1206"/>
    </row>
    <row r="1207" spans="2:2" x14ac:dyDescent="0.3">
      <c r="B1207"/>
    </row>
    <row r="1208" spans="2:2" x14ac:dyDescent="0.3">
      <c r="B1208"/>
    </row>
    <row r="1209" spans="2:2" x14ac:dyDescent="0.3">
      <c r="B1209"/>
    </row>
    <row r="1210" spans="2:2" x14ac:dyDescent="0.3">
      <c r="B1210"/>
    </row>
    <row r="1211" spans="2:2" x14ac:dyDescent="0.3">
      <c r="B1211"/>
    </row>
    <row r="1212" spans="2:2" x14ac:dyDescent="0.3">
      <c r="B1212"/>
    </row>
    <row r="1213" spans="2:2" x14ac:dyDescent="0.3">
      <c r="B1213"/>
    </row>
    <row r="1214" spans="2:2" x14ac:dyDescent="0.3">
      <c r="B1214"/>
    </row>
    <row r="1215" spans="2:2" x14ac:dyDescent="0.3">
      <c r="B1215"/>
    </row>
    <row r="1216" spans="2:2" x14ac:dyDescent="0.3">
      <c r="B1216"/>
    </row>
    <row r="1217" spans="2:2" x14ac:dyDescent="0.3">
      <c r="B1217"/>
    </row>
    <row r="1218" spans="2:2" x14ac:dyDescent="0.3">
      <c r="B1218"/>
    </row>
    <row r="1219" spans="2:2" x14ac:dyDescent="0.3">
      <c r="B1219"/>
    </row>
    <row r="1220" spans="2:2" x14ac:dyDescent="0.3">
      <c r="B1220"/>
    </row>
    <row r="1221" spans="2:2" x14ac:dyDescent="0.3">
      <c r="B1221"/>
    </row>
    <row r="1222" spans="2:2" x14ac:dyDescent="0.3">
      <c r="B1222"/>
    </row>
    <row r="1223" spans="2:2" x14ac:dyDescent="0.3">
      <c r="B1223"/>
    </row>
    <row r="1224" spans="2:2" x14ac:dyDescent="0.3">
      <c r="B1224"/>
    </row>
    <row r="1225" spans="2:2" x14ac:dyDescent="0.3">
      <c r="B1225"/>
    </row>
    <row r="1226" spans="2:2" x14ac:dyDescent="0.3">
      <c r="B1226"/>
    </row>
    <row r="1227" spans="2:2" x14ac:dyDescent="0.3">
      <c r="B1227"/>
    </row>
    <row r="1228" spans="2:2" x14ac:dyDescent="0.3">
      <c r="B1228"/>
    </row>
    <row r="1229" spans="2:2" x14ac:dyDescent="0.3">
      <c r="B1229"/>
    </row>
    <row r="1230" spans="2:2" x14ac:dyDescent="0.3">
      <c r="B1230"/>
    </row>
    <row r="1231" spans="2:2" x14ac:dyDescent="0.3">
      <c r="B1231"/>
    </row>
    <row r="1232" spans="2:2" x14ac:dyDescent="0.3">
      <c r="B1232"/>
    </row>
    <row r="1233" spans="2:2" x14ac:dyDescent="0.3">
      <c r="B1233"/>
    </row>
    <row r="1234" spans="2:2" x14ac:dyDescent="0.3">
      <c r="B1234"/>
    </row>
    <row r="1235" spans="2:2" x14ac:dyDescent="0.3">
      <c r="B1235"/>
    </row>
    <row r="1236" spans="2:2" x14ac:dyDescent="0.3">
      <c r="B1236"/>
    </row>
    <row r="1237" spans="2:2" x14ac:dyDescent="0.3">
      <c r="B1237"/>
    </row>
    <row r="1238" spans="2:2" x14ac:dyDescent="0.3">
      <c r="B1238"/>
    </row>
    <row r="1239" spans="2:2" x14ac:dyDescent="0.3">
      <c r="B1239"/>
    </row>
    <row r="1240" spans="2:2" x14ac:dyDescent="0.3">
      <c r="B1240"/>
    </row>
    <row r="1241" spans="2:2" x14ac:dyDescent="0.3">
      <c r="B1241"/>
    </row>
    <row r="1242" spans="2:2" x14ac:dyDescent="0.3">
      <c r="B1242"/>
    </row>
    <row r="1243" spans="2:2" x14ac:dyDescent="0.3">
      <c r="B1243"/>
    </row>
    <row r="1244" spans="2:2" x14ac:dyDescent="0.3">
      <c r="B1244"/>
    </row>
    <row r="1245" spans="2:2" x14ac:dyDescent="0.3">
      <c r="B1245"/>
    </row>
    <row r="1246" spans="2:2" x14ac:dyDescent="0.3">
      <c r="B1246"/>
    </row>
    <row r="1247" spans="2:2" x14ac:dyDescent="0.3">
      <c r="B1247"/>
    </row>
    <row r="1248" spans="2:2" x14ac:dyDescent="0.3">
      <c r="B1248"/>
    </row>
    <row r="1249" spans="2:2" x14ac:dyDescent="0.3">
      <c r="B1249"/>
    </row>
    <row r="1250" spans="2:2" x14ac:dyDescent="0.3">
      <c r="B1250"/>
    </row>
    <row r="1251" spans="2:2" x14ac:dyDescent="0.3">
      <c r="B1251"/>
    </row>
    <row r="1252" spans="2:2" x14ac:dyDescent="0.3">
      <c r="B1252"/>
    </row>
    <row r="1253" spans="2:2" x14ac:dyDescent="0.3">
      <c r="B1253"/>
    </row>
    <row r="1254" spans="2:2" x14ac:dyDescent="0.3">
      <c r="B1254"/>
    </row>
    <row r="1255" spans="2:2" x14ac:dyDescent="0.3">
      <c r="B1255"/>
    </row>
    <row r="1256" spans="2:2" x14ac:dyDescent="0.3">
      <c r="B1256"/>
    </row>
    <row r="1257" spans="2:2" x14ac:dyDescent="0.3">
      <c r="B1257"/>
    </row>
    <row r="1258" spans="2:2" x14ac:dyDescent="0.3">
      <c r="B1258"/>
    </row>
    <row r="1259" spans="2:2" x14ac:dyDescent="0.3">
      <c r="B1259"/>
    </row>
    <row r="1260" spans="2:2" x14ac:dyDescent="0.3">
      <c r="B1260"/>
    </row>
    <row r="1261" spans="2:2" x14ac:dyDescent="0.3">
      <c r="B1261"/>
    </row>
    <row r="1262" spans="2:2" x14ac:dyDescent="0.3">
      <c r="B1262"/>
    </row>
    <row r="1263" spans="2:2" x14ac:dyDescent="0.3">
      <c r="B1263"/>
    </row>
    <row r="1264" spans="2:2" x14ac:dyDescent="0.3">
      <c r="B1264"/>
    </row>
    <row r="1265" spans="2:2" x14ac:dyDescent="0.3">
      <c r="B1265"/>
    </row>
    <row r="1266" spans="2:2" x14ac:dyDescent="0.3">
      <c r="B1266"/>
    </row>
    <row r="1267" spans="2:2" x14ac:dyDescent="0.3">
      <c r="B1267"/>
    </row>
    <row r="1268" spans="2:2" x14ac:dyDescent="0.3">
      <c r="B1268"/>
    </row>
    <row r="1269" spans="2:2" x14ac:dyDescent="0.3">
      <c r="B1269"/>
    </row>
    <row r="1270" spans="2:2" x14ac:dyDescent="0.3">
      <c r="B1270"/>
    </row>
    <row r="1271" spans="2:2" x14ac:dyDescent="0.3">
      <c r="B1271"/>
    </row>
    <row r="1272" spans="2:2" x14ac:dyDescent="0.3">
      <c r="B1272"/>
    </row>
    <row r="1273" spans="2:2" x14ac:dyDescent="0.3">
      <c r="B1273"/>
    </row>
    <row r="1274" spans="2:2" x14ac:dyDescent="0.3">
      <c r="B1274"/>
    </row>
    <row r="1275" spans="2:2" x14ac:dyDescent="0.3">
      <c r="B1275"/>
    </row>
    <row r="1276" spans="2:2" x14ac:dyDescent="0.3">
      <c r="B1276"/>
    </row>
    <row r="1277" spans="2:2" x14ac:dyDescent="0.3">
      <c r="B1277"/>
    </row>
    <row r="1278" spans="2:2" x14ac:dyDescent="0.3">
      <c r="B1278"/>
    </row>
    <row r="1279" spans="2:2" x14ac:dyDescent="0.3">
      <c r="B1279"/>
    </row>
    <row r="1280" spans="2:2" x14ac:dyDescent="0.3">
      <c r="B1280"/>
    </row>
    <row r="1281" spans="2:2" x14ac:dyDescent="0.3">
      <c r="B1281"/>
    </row>
    <row r="1282" spans="2:2" x14ac:dyDescent="0.3">
      <c r="B1282"/>
    </row>
    <row r="1283" spans="2:2" x14ac:dyDescent="0.3">
      <c r="B1283"/>
    </row>
    <row r="1284" spans="2:2" x14ac:dyDescent="0.3">
      <c r="B1284"/>
    </row>
    <row r="1285" spans="2:2" x14ac:dyDescent="0.3">
      <c r="B1285"/>
    </row>
    <row r="1286" spans="2:2" x14ac:dyDescent="0.3">
      <c r="B1286"/>
    </row>
    <row r="1287" spans="2:2" x14ac:dyDescent="0.3">
      <c r="B1287"/>
    </row>
    <row r="1288" spans="2:2" x14ac:dyDescent="0.3">
      <c r="B1288"/>
    </row>
    <row r="1289" spans="2:2" x14ac:dyDescent="0.3">
      <c r="B1289"/>
    </row>
    <row r="1290" spans="2:2" x14ac:dyDescent="0.3">
      <c r="B1290"/>
    </row>
    <row r="1291" spans="2:2" x14ac:dyDescent="0.3">
      <c r="B1291"/>
    </row>
    <row r="1292" spans="2:2" x14ac:dyDescent="0.3">
      <c r="B1292"/>
    </row>
    <row r="1293" spans="2:2" x14ac:dyDescent="0.3">
      <c r="B1293"/>
    </row>
    <row r="1294" spans="2:2" x14ac:dyDescent="0.3">
      <c r="B1294"/>
    </row>
    <row r="1295" spans="2:2" x14ac:dyDescent="0.3">
      <c r="B1295"/>
    </row>
    <row r="1296" spans="2:2" x14ac:dyDescent="0.3">
      <c r="B1296"/>
    </row>
    <row r="1297" spans="2:2" x14ac:dyDescent="0.3">
      <c r="B1297"/>
    </row>
    <row r="1298" spans="2:2" x14ac:dyDescent="0.3">
      <c r="B1298"/>
    </row>
    <row r="1299" spans="2:2" x14ac:dyDescent="0.3">
      <c r="B1299"/>
    </row>
    <row r="1300" spans="2:2" x14ac:dyDescent="0.3">
      <c r="B1300"/>
    </row>
    <row r="1301" spans="2:2" x14ac:dyDescent="0.3">
      <c r="B1301"/>
    </row>
    <row r="1302" spans="2:2" x14ac:dyDescent="0.3">
      <c r="B1302"/>
    </row>
    <row r="1303" spans="2:2" x14ac:dyDescent="0.3">
      <c r="B1303"/>
    </row>
    <row r="1304" spans="2:2" x14ac:dyDescent="0.3">
      <c r="B1304"/>
    </row>
    <row r="1305" spans="2:2" x14ac:dyDescent="0.3">
      <c r="B1305"/>
    </row>
    <row r="1306" spans="2:2" x14ac:dyDescent="0.3">
      <c r="B1306"/>
    </row>
    <row r="1307" spans="2:2" x14ac:dyDescent="0.3">
      <c r="B1307"/>
    </row>
    <row r="1308" spans="2:2" x14ac:dyDescent="0.3">
      <c r="B1308"/>
    </row>
    <row r="1309" spans="2:2" x14ac:dyDescent="0.3">
      <c r="B1309"/>
    </row>
    <row r="1310" spans="2:2" x14ac:dyDescent="0.3">
      <c r="B1310"/>
    </row>
    <row r="1311" spans="2:2" x14ac:dyDescent="0.3">
      <c r="B1311"/>
    </row>
    <row r="1312" spans="2:2" x14ac:dyDescent="0.3">
      <c r="B1312"/>
    </row>
    <row r="1313" spans="2:2" x14ac:dyDescent="0.3">
      <c r="B1313"/>
    </row>
    <row r="1314" spans="2:2" x14ac:dyDescent="0.3">
      <c r="B1314"/>
    </row>
    <row r="1315" spans="2:2" x14ac:dyDescent="0.3">
      <c r="B1315"/>
    </row>
    <row r="1316" spans="2:2" x14ac:dyDescent="0.3">
      <c r="B1316"/>
    </row>
    <row r="1317" spans="2:2" x14ac:dyDescent="0.3">
      <c r="B1317"/>
    </row>
    <row r="1318" spans="2:2" x14ac:dyDescent="0.3">
      <c r="B1318"/>
    </row>
    <row r="1319" spans="2:2" x14ac:dyDescent="0.3">
      <c r="B1319"/>
    </row>
    <row r="1320" spans="2:2" x14ac:dyDescent="0.3">
      <c r="B1320"/>
    </row>
    <row r="1321" spans="2:2" x14ac:dyDescent="0.3">
      <c r="B1321"/>
    </row>
    <row r="1322" spans="2:2" x14ac:dyDescent="0.3">
      <c r="B1322"/>
    </row>
    <row r="1323" spans="2:2" x14ac:dyDescent="0.3">
      <c r="B1323"/>
    </row>
    <row r="1324" spans="2:2" x14ac:dyDescent="0.3">
      <c r="B1324"/>
    </row>
    <row r="1325" spans="2:2" x14ac:dyDescent="0.3">
      <c r="B1325"/>
    </row>
    <row r="1326" spans="2:2" x14ac:dyDescent="0.3">
      <c r="B1326"/>
    </row>
    <row r="1327" spans="2:2" x14ac:dyDescent="0.3">
      <c r="B1327"/>
    </row>
    <row r="1328" spans="2:2" x14ac:dyDescent="0.3">
      <c r="B1328"/>
    </row>
    <row r="1329" spans="2:2" x14ac:dyDescent="0.3">
      <c r="B1329"/>
    </row>
    <row r="1330" spans="2:2" x14ac:dyDescent="0.3">
      <c r="B1330"/>
    </row>
    <row r="1331" spans="2:2" x14ac:dyDescent="0.3">
      <c r="B1331"/>
    </row>
    <row r="1332" spans="2:2" x14ac:dyDescent="0.3">
      <c r="B1332"/>
    </row>
    <row r="1333" spans="2:2" x14ac:dyDescent="0.3">
      <c r="B1333"/>
    </row>
    <row r="1334" spans="2:2" x14ac:dyDescent="0.3">
      <c r="B1334"/>
    </row>
    <row r="1335" spans="2:2" x14ac:dyDescent="0.3">
      <c r="B1335"/>
    </row>
    <row r="1336" spans="2:2" x14ac:dyDescent="0.3">
      <c r="B1336"/>
    </row>
    <row r="1337" spans="2:2" x14ac:dyDescent="0.3">
      <c r="B1337"/>
    </row>
    <row r="1338" spans="2:2" x14ac:dyDescent="0.3">
      <c r="B1338"/>
    </row>
    <row r="1339" spans="2:2" x14ac:dyDescent="0.3">
      <c r="B1339"/>
    </row>
    <row r="1340" spans="2:2" x14ac:dyDescent="0.3">
      <c r="B1340"/>
    </row>
    <row r="1341" spans="2:2" x14ac:dyDescent="0.3">
      <c r="B1341"/>
    </row>
    <row r="1342" spans="2:2" x14ac:dyDescent="0.3">
      <c r="B1342"/>
    </row>
    <row r="1343" spans="2:2" x14ac:dyDescent="0.3">
      <c r="B1343"/>
    </row>
    <row r="1344" spans="2:2" x14ac:dyDescent="0.3">
      <c r="B1344"/>
    </row>
    <row r="1345" spans="2:2" x14ac:dyDescent="0.3">
      <c r="B1345"/>
    </row>
    <row r="1346" spans="2:2" x14ac:dyDescent="0.3">
      <c r="B1346"/>
    </row>
    <row r="1347" spans="2:2" x14ac:dyDescent="0.3">
      <c r="B1347"/>
    </row>
    <row r="1348" spans="2:2" x14ac:dyDescent="0.3">
      <c r="B1348"/>
    </row>
    <row r="1349" spans="2:2" x14ac:dyDescent="0.3">
      <c r="B1349"/>
    </row>
    <row r="1350" spans="2:2" x14ac:dyDescent="0.3">
      <c r="B1350"/>
    </row>
    <row r="1351" spans="2:2" x14ac:dyDescent="0.3">
      <c r="B1351"/>
    </row>
    <row r="1352" spans="2:2" x14ac:dyDescent="0.3">
      <c r="B1352"/>
    </row>
    <row r="1353" spans="2:2" x14ac:dyDescent="0.3">
      <c r="B1353"/>
    </row>
    <row r="1354" spans="2:2" x14ac:dyDescent="0.3">
      <c r="B1354"/>
    </row>
    <row r="1355" spans="2:2" x14ac:dyDescent="0.3">
      <c r="B1355"/>
    </row>
    <row r="1356" spans="2:2" x14ac:dyDescent="0.3">
      <c r="B1356"/>
    </row>
    <row r="1357" spans="2:2" x14ac:dyDescent="0.3">
      <c r="B1357"/>
    </row>
    <row r="1358" spans="2:2" x14ac:dyDescent="0.3">
      <c r="B1358"/>
    </row>
    <row r="1359" spans="2:2" x14ac:dyDescent="0.3">
      <c r="B1359"/>
    </row>
    <row r="1360" spans="2:2" x14ac:dyDescent="0.3">
      <c r="B1360"/>
    </row>
    <row r="1361" spans="2:2" x14ac:dyDescent="0.3">
      <c r="B1361"/>
    </row>
    <row r="1362" spans="2:2" x14ac:dyDescent="0.3">
      <c r="B1362"/>
    </row>
    <row r="1363" spans="2:2" x14ac:dyDescent="0.3">
      <c r="B1363"/>
    </row>
    <row r="1364" spans="2:2" x14ac:dyDescent="0.3">
      <c r="B1364"/>
    </row>
    <row r="1365" spans="2:2" x14ac:dyDescent="0.3">
      <c r="B1365"/>
    </row>
    <row r="1366" spans="2:2" x14ac:dyDescent="0.3">
      <c r="B1366"/>
    </row>
    <row r="1367" spans="2:2" x14ac:dyDescent="0.3">
      <c r="B1367"/>
    </row>
    <row r="1368" spans="2:2" x14ac:dyDescent="0.3">
      <c r="B1368"/>
    </row>
    <row r="1369" spans="2:2" x14ac:dyDescent="0.3">
      <c r="B1369"/>
    </row>
    <row r="1370" spans="2:2" x14ac:dyDescent="0.3">
      <c r="B1370"/>
    </row>
    <row r="1371" spans="2:2" x14ac:dyDescent="0.3">
      <c r="B1371"/>
    </row>
    <row r="1372" spans="2:2" x14ac:dyDescent="0.3">
      <c r="B1372"/>
    </row>
    <row r="1373" spans="2:2" x14ac:dyDescent="0.3">
      <c r="B1373"/>
    </row>
    <row r="1374" spans="2:2" x14ac:dyDescent="0.3">
      <c r="B1374"/>
    </row>
    <row r="1375" spans="2:2" x14ac:dyDescent="0.3">
      <c r="B1375"/>
    </row>
    <row r="1376" spans="2:2" x14ac:dyDescent="0.3">
      <c r="B1376"/>
    </row>
    <row r="1377" spans="2:2" x14ac:dyDescent="0.3">
      <c r="B1377"/>
    </row>
    <row r="1378" spans="2:2" x14ac:dyDescent="0.3">
      <c r="B1378"/>
    </row>
    <row r="1379" spans="2:2" x14ac:dyDescent="0.3">
      <c r="B1379"/>
    </row>
    <row r="1380" spans="2:2" x14ac:dyDescent="0.3">
      <c r="B1380"/>
    </row>
    <row r="1381" spans="2:2" x14ac:dyDescent="0.3">
      <c r="B1381"/>
    </row>
    <row r="1382" spans="2:2" x14ac:dyDescent="0.3">
      <c r="B1382"/>
    </row>
    <row r="1383" spans="2:2" x14ac:dyDescent="0.3">
      <c r="B1383"/>
    </row>
    <row r="1384" spans="2:2" x14ac:dyDescent="0.3">
      <c r="B1384"/>
    </row>
    <row r="1385" spans="2:2" x14ac:dyDescent="0.3">
      <c r="B1385"/>
    </row>
    <row r="1386" spans="2:2" x14ac:dyDescent="0.3">
      <c r="B1386"/>
    </row>
    <row r="1387" spans="2:2" x14ac:dyDescent="0.3">
      <c r="B1387"/>
    </row>
    <row r="1388" spans="2:2" x14ac:dyDescent="0.3">
      <c r="B1388"/>
    </row>
    <row r="1389" spans="2:2" x14ac:dyDescent="0.3">
      <c r="B1389"/>
    </row>
    <row r="1390" spans="2:2" x14ac:dyDescent="0.3">
      <c r="B1390"/>
    </row>
    <row r="1391" spans="2:2" x14ac:dyDescent="0.3">
      <c r="B1391"/>
    </row>
    <row r="1392" spans="2:2" x14ac:dyDescent="0.3">
      <c r="B1392"/>
    </row>
    <row r="1393" spans="2:2" x14ac:dyDescent="0.3">
      <c r="B1393"/>
    </row>
    <row r="1394" spans="2:2" x14ac:dyDescent="0.3">
      <c r="B1394"/>
    </row>
    <row r="1395" spans="2:2" x14ac:dyDescent="0.3">
      <c r="B1395"/>
    </row>
    <row r="1396" spans="2:2" x14ac:dyDescent="0.3">
      <c r="B1396"/>
    </row>
    <row r="1397" spans="2:2" x14ac:dyDescent="0.3">
      <c r="B1397"/>
    </row>
    <row r="1398" spans="2:2" x14ac:dyDescent="0.3">
      <c r="B1398"/>
    </row>
    <row r="1399" spans="2:2" x14ac:dyDescent="0.3">
      <c r="B1399"/>
    </row>
    <row r="1400" spans="2:2" x14ac:dyDescent="0.3">
      <c r="B1400"/>
    </row>
    <row r="1401" spans="2:2" x14ac:dyDescent="0.3">
      <c r="B1401"/>
    </row>
    <row r="1402" spans="2:2" x14ac:dyDescent="0.3">
      <c r="B1402"/>
    </row>
    <row r="1403" spans="2:2" x14ac:dyDescent="0.3">
      <c r="B1403"/>
    </row>
    <row r="1404" spans="2:2" x14ac:dyDescent="0.3">
      <c r="B1404"/>
    </row>
    <row r="1405" spans="2:2" x14ac:dyDescent="0.3">
      <c r="B1405"/>
    </row>
    <row r="1406" spans="2:2" x14ac:dyDescent="0.3">
      <c r="B1406"/>
    </row>
    <row r="1407" spans="2:2" x14ac:dyDescent="0.3">
      <c r="B1407"/>
    </row>
    <row r="1408" spans="2:2" x14ac:dyDescent="0.3">
      <c r="B1408"/>
    </row>
    <row r="1409" spans="2:2" x14ac:dyDescent="0.3">
      <c r="B1409"/>
    </row>
    <row r="1410" spans="2:2" x14ac:dyDescent="0.3">
      <c r="B1410"/>
    </row>
    <row r="1411" spans="2:2" x14ac:dyDescent="0.3">
      <c r="B1411"/>
    </row>
    <row r="1412" spans="2:2" x14ac:dyDescent="0.3">
      <c r="B1412"/>
    </row>
    <row r="1413" spans="2:2" x14ac:dyDescent="0.3">
      <c r="B1413"/>
    </row>
    <row r="1414" spans="2:2" x14ac:dyDescent="0.3">
      <c r="B1414"/>
    </row>
    <row r="1415" spans="2:2" x14ac:dyDescent="0.3">
      <c r="B1415"/>
    </row>
    <row r="1416" spans="2:2" x14ac:dyDescent="0.3">
      <c r="B1416"/>
    </row>
    <row r="1417" spans="2:2" x14ac:dyDescent="0.3">
      <c r="B1417"/>
    </row>
    <row r="1418" spans="2:2" x14ac:dyDescent="0.3">
      <c r="B1418"/>
    </row>
    <row r="1419" spans="2:2" x14ac:dyDescent="0.3">
      <c r="B1419"/>
    </row>
    <row r="1420" spans="2:2" x14ac:dyDescent="0.3">
      <c r="B1420"/>
    </row>
    <row r="1421" spans="2:2" x14ac:dyDescent="0.3">
      <c r="B1421"/>
    </row>
    <row r="1422" spans="2:2" x14ac:dyDescent="0.3">
      <c r="B1422"/>
    </row>
    <row r="1423" spans="2:2" x14ac:dyDescent="0.3">
      <c r="B1423"/>
    </row>
    <row r="1424" spans="2:2" x14ac:dyDescent="0.3">
      <c r="B1424"/>
    </row>
    <row r="1425" spans="2:2" x14ac:dyDescent="0.3">
      <c r="B1425"/>
    </row>
    <row r="1426" spans="2:2" x14ac:dyDescent="0.3">
      <c r="B1426"/>
    </row>
    <row r="1427" spans="2:2" x14ac:dyDescent="0.3">
      <c r="B1427"/>
    </row>
    <row r="1428" spans="2:2" x14ac:dyDescent="0.3">
      <c r="B1428"/>
    </row>
    <row r="1429" spans="2:2" x14ac:dyDescent="0.3">
      <c r="B1429"/>
    </row>
    <row r="1430" spans="2:2" x14ac:dyDescent="0.3">
      <c r="B1430"/>
    </row>
    <row r="1431" spans="2:2" x14ac:dyDescent="0.3">
      <c r="B1431"/>
    </row>
    <row r="1432" spans="2:2" x14ac:dyDescent="0.3">
      <c r="B1432"/>
    </row>
    <row r="1433" spans="2:2" x14ac:dyDescent="0.3">
      <c r="B1433"/>
    </row>
    <row r="1434" spans="2:2" x14ac:dyDescent="0.3">
      <c r="B1434"/>
    </row>
    <row r="1435" spans="2:2" x14ac:dyDescent="0.3">
      <c r="B1435"/>
    </row>
    <row r="1436" spans="2:2" x14ac:dyDescent="0.3">
      <c r="B1436"/>
    </row>
    <row r="1437" spans="2:2" x14ac:dyDescent="0.3">
      <c r="B1437"/>
    </row>
    <row r="1438" spans="2:2" x14ac:dyDescent="0.3">
      <c r="B1438"/>
    </row>
    <row r="1439" spans="2:2" x14ac:dyDescent="0.3">
      <c r="B1439"/>
    </row>
    <row r="1440" spans="2:2" x14ac:dyDescent="0.3">
      <c r="B1440"/>
    </row>
    <row r="1441" spans="2:2" x14ac:dyDescent="0.3">
      <c r="B1441"/>
    </row>
    <row r="1442" spans="2:2" x14ac:dyDescent="0.3">
      <c r="B1442"/>
    </row>
    <row r="1443" spans="2:2" x14ac:dyDescent="0.3">
      <c r="B1443"/>
    </row>
    <row r="1444" spans="2:2" x14ac:dyDescent="0.3">
      <c r="B1444"/>
    </row>
    <row r="1445" spans="2:2" x14ac:dyDescent="0.3">
      <c r="B1445"/>
    </row>
    <row r="1446" spans="2:2" x14ac:dyDescent="0.3">
      <c r="B1446"/>
    </row>
    <row r="1447" spans="2:2" x14ac:dyDescent="0.3">
      <c r="B1447"/>
    </row>
    <row r="1448" spans="2:2" x14ac:dyDescent="0.3">
      <c r="B1448"/>
    </row>
    <row r="1449" spans="2:2" x14ac:dyDescent="0.3">
      <c r="B1449"/>
    </row>
    <row r="1450" spans="2:2" x14ac:dyDescent="0.3">
      <c r="B1450"/>
    </row>
    <row r="1451" spans="2:2" x14ac:dyDescent="0.3">
      <c r="B1451"/>
    </row>
    <row r="1452" spans="2:2" x14ac:dyDescent="0.3">
      <c r="B1452"/>
    </row>
    <row r="1453" spans="2:2" x14ac:dyDescent="0.3">
      <c r="B1453"/>
    </row>
    <row r="1454" spans="2:2" x14ac:dyDescent="0.3">
      <c r="B1454"/>
    </row>
    <row r="1455" spans="2:2" x14ac:dyDescent="0.3">
      <c r="B1455"/>
    </row>
    <row r="1456" spans="2:2" x14ac:dyDescent="0.3">
      <c r="B1456"/>
    </row>
    <row r="1457" spans="2:2" x14ac:dyDescent="0.3">
      <c r="B1457"/>
    </row>
    <row r="1458" spans="2:2" x14ac:dyDescent="0.3">
      <c r="B1458"/>
    </row>
    <row r="1459" spans="2:2" x14ac:dyDescent="0.3">
      <c r="B1459"/>
    </row>
    <row r="1460" spans="2:2" x14ac:dyDescent="0.3">
      <c r="B1460"/>
    </row>
    <row r="1461" spans="2:2" x14ac:dyDescent="0.3">
      <c r="B1461"/>
    </row>
    <row r="1462" spans="2:2" x14ac:dyDescent="0.3">
      <c r="B1462"/>
    </row>
    <row r="1463" spans="2:2" x14ac:dyDescent="0.3">
      <c r="B1463"/>
    </row>
    <row r="1464" spans="2:2" x14ac:dyDescent="0.3">
      <c r="B1464"/>
    </row>
    <row r="1465" spans="2:2" x14ac:dyDescent="0.3">
      <c r="B1465"/>
    </row>
    <row r="1466" spans="2:2" x14ac:dyDescent="0.3">
      <c r="B1466"/>
    </row>
    <row r="1467" spans="2:2" x14ac:dyDescent="0.3">
      <c r="B1467"/>
    </row>
    <row r="1468" spans="2:2" x14ac:dyDescent="0.3">
      <c r="B1468"/>
    </row>
    <row r="1469" spans="2:2" x14ac:dyDescent="0.3">
      <c r="B1469"/>
    </row>
    <row r="1470" spans="2:2" x14ac:dyDescent="0.3">
      <c r="B1470"/>
    </row>
    <row r="1471" spans="2:2" x14ac:dyDescent="0.3">
      <c r="B1471"/>
    </row>
    <row r="1472" spans="2:2" x14ac:dyDescent="0.3">
      <c r="B1472"/>
    </row>
    <row r="1473" spans="2:2" x14ac:dyDescent="0.3">
      <c r="B1473"/>
    </row>
    <row r="1474" spans="2:2" x14ac:dyDescent="0.3">
      <c r="B1474"/>
    </row>
    <row r="1475" spans="2:2" x14ac:dyDescent="0.3">
      <c r="B1475"/>
    </row>
    <row r="1476" spans="2:2" x14ac:dyDescent="0.3">
      <c r="B1476"/>
    </row>
    <row r="1477" spans="2:2" x14ac:dyDescent="0.3">
      <c r="B1477"/>
    </row>
    <row r="1478" spans="2:2" x14ac:dyDescent="0.3">
      <c r="B1478"/>
    </row>
    <row r="1479" spans="2:2" x14ac:dyDescent="0.3">
      <c r="B1479"/>
    </row>
    <row r="1480" spans="2:2" x14ac:dyDescent="0.3">
      <c r="B1480"/>
    </row>
    <row r="1481" spans="2:2" x14ac:dyDescent="0.3">
      <c r="B1481"/>
    </row>
    <row r="1482" spans="2:2" x14ac:dyDescent="0.3">
      <c r="B1482"/>
    </row>
    <row r="1483" spans="2:2" x14ac:dyDescent="0.3">
      <c r="B1483"/>
    </row>
    <row r="1484" spans="2:2" x14ac:dyDescent="0.3">
      <c r="B1484"/>
    </row>
    <row r="1485" spans="2:2" x14ac:dyDescent="0.3">
      <c r="B1485"/>
    </row>
    <row r="1486" spans="2:2" x14ac:dyDescent="0.3">
      <c r="B1486"/>
    </row>
    <row r="1487" spans="2:2" x14ac:dyDescent="0.3">
      <c r="B1487"/>
    </row>
    <row r="1488" spans="2:2" x14ac:dyDescent="0.3">
      <c r="B1488"/>
    </row>
    <row r="1489" spans="2:2" x14ac:dyDescent="0.3">
      <c r="B1489"/>
    </row>
    <row r="1490" spans="2:2" x14ac:dyDescent="0.3">
      <c r="B1490"/>
    </row>
    <row r="1491" spans="2:2" x14ac:dyDescent="0.3">
      <c r="B1491"/>
    </row>
    <row r="1492" spans="2:2" x14ac:dyDescent="0.3">
      <c r="B1492"/>
    </row>
    <row r="1493" spans="2:2" x14ac:dyDescent="0.3">
      <c r="B1493"/>
    </row>
    <row r="1494" spans="2:2" x14ac:dyDescent="0.3">
      <c r="B1494"/>
    </row>
    <row r="1495" spans="2:2" x14ac:dyDescent="0.3">
      <c r="B1495"/>
    </row>
    <row r="1496" spans="2:2" x14ac:dyDescent="0.3">
      <c r="B1496"/>
    </row>
    <row r="1497" spans="2:2" x14ac:dyDescent="0.3">
      <c r="B1497"/>
    </row>
    <row r="1498" spans="2:2" x14ac:dyDescent="0.3">
      <c r="B1498"/>
    </row>
    <row r="1499" spans="2:2" x14ac:dyDescent="0.3">
      <c r="B1499"/>
    </row>
    <row r="1500" spans="2:2" x14ac:dyDescent="0.3">
      <c r="B1500"/>
    </row>
    <row r="1501" spans="2:2" x14ac:dyDescent="0.3">
      <c r="B1501"/>
    </row>
    <row r="1502" spans="2:2" x14ac:dyDescent="0.3">
      <c r="B1502"/>
    </row>
    <row r="1503" spans="2:2" x14ac:dyDescent="0.3">
      <c r="B1503"/>
    </row>
    <row r="1504" spans="2:2" x14ac:dyDescent="0.3">
      <c r="B1504"/>
    </row>
    <row r="1505" spans="2:2" x14ac:dyDescent="0.3">
      <c r="B1505"/>
    </row>
    <row r="1506" spans="2:2" x14ac:dyDescent="0.3">
      <c r="B1506"/>
    </row>
    <row r="1507" spans="2:2" x14ac:dyDescent="0.3">
      <c r="B1507"/>
    </row>
    <row r="1508" spans="2:2" x14ac:dyDescent="0.3">
      <c r="B1508"/>
    </row>
    <row r="1509" spans="2:2" x14ac:dyDescent="0.3">
      <c r="B1509"/>
    </row>
    <row r="1510" spans="2:2" x14ac:dyDescent="0.3">
      <c r="B1510"/>
    </row>
    <row r="1511" spans="2:2" x14ac:dyDescent="0.3">
      <c r="B1511"/>
    </row>
    <row r="1512" spans="2:2" x14ac:dyDescent="0.3">
      <c r="B1512"/>
    </row>
    <row r="1513" spans="2:2" x14ac:dyDescent="0.3">
      <c r="B1513"/>
    </row>
    <row r="1514" spans="2:2" x14ac:dyDescent="0.3">
      <c r="B1514"/>
    </row>
    <row r="1515" spans="2:2" x14ac:dyDescent="0.3">
      <c r="B1515"/>
    </row>
    <row r="1516" spans="2:2" x14ac:dyDescent="0.3">
      <c r="B1516"/>
    </row>
    <row r="1517" spans="2:2" x14ac:dyDescent="0.3">
      <c r="B1517"/>
    </row>
    <row r="1518" spans="2:2" x14ac:dyDescent="0.3">
      <c r="B1518"/>
    </row>
    <row r="1519" spans="2:2" x14ac:dyDescent="0.3">
      <c r="B1519"/>
    </row>
    <row r="1520" spans="2:2" x14ac:dyDescent="0.3">
      <c r="B1520"/>
    </row>
    <row r="1521" spans="2:2" x14ac:dyDescent="0.3">
      <c r="B1521"/>
    </row>
    <row r="1522" spans="2:2" x14ac:dyDescent="0.3">
      <c r="B1522"/>
    </row>
    <row r="1523" spans="2:2" x14ac:dyDescent="0.3">
      <c r="B1523"/>
    </row>
    <row r="1524" spans="2:2" x14ac:dyDescent="0.3">
      <c r="B1524"/>
    </row>
    <row r="1525" spans="2:2" x14ac:dyDescent="0.3">
      <c r="B1525"/>
    </row>
    <row r="1526" spans="2:2" x14ac:dyDescent="0.3">
      <c r="B1526"/>
    </row>
    <row r="1527" spans="2:2" x14ac:dyDescent="0.3">
      <c r="B1527"/>
    </row>
    <row r="1528" spans="2:2" x14ac:dyDescent="0.3">
      <c r="B1528"/>
    </row>
    <row r="1529" spans="2:2" x14ac:dyDescent="0.3">
      <c r="B1529"/>
    </row>
    <row r="1530" spans="2:2" x14ac:dyDescent="0.3">
      <c r="B1530"/>
    </row>
    <row r="1531" spans="2:2" x14ac:dyDescent="0.3">
      <c r="B1531"/>
    </row>
    <row r="1532" spans="2:2" x14ac:dyDescent="0.3">
      <c r="B1532"/>
    </row>
    <row r="1533" spans="2:2" x14ac:dyDescent="0.3">
      <c r="B1533"/>
    </row>
    <row r="1534" spans="2:2" x14ac:dyDescent="0.3">
      <c r="B1534"/>
    </row>
    <row r="1535" spans="2:2" x14ac:dyDescent="0.3">
      <c r="B1535"/>
    </row>
    <row r="1536" spans="2:2" x14ac:dyDescent="0.3">
      <c r="B1536"/>
    </row>
    <row r="1537" spans="2:2" x14ac:dyDescent="0.3">
      <c r="B1537"/>
    </row>
    <row r="1538" spans="2:2" x14ac:dyDescent="0.3">
      <c r="B1538"/>
    </row>
    <row r="1539" spans="2:2" x14ac:dyDescent="0.3">
      <c r="B1539"/>
    </row>
    <row r="1540" spans="2:2" x14ac:dyDescent="0.3">
      <c r="B1540"/>
    </row>
    <row r="1541" spans="2:2" x14ac:dyDescent="0.3">
      <c r="B1541"/>
    </row>
    <row r="1542" spans="2:2" x14ac:dyDescent="0.3">
      <c r="B1542"/>
    </row>
    <row r="1543" spans="2:2" x14ac:dyDescent="0.3">
      <c r="B1543"/>
    </row>
    <row r="1544" spans="2:2" x14ac:dyDescent="0.3">
      <c r="B1544"/>
    </row>
    <row r="1545" spans="2:2" x14ac:dyDescent="0.3">
      <c r="B1545"/>
    </row>
    <row r="1546" spans="2:2" x14ac:dyDescent="0.3">
      <c r="B1546"/>
    </row>
    <row r="1547" spans="2:2" x14ac:dyDescent="0.3">
      <c r="B1547"/>
    </row>
    <row r="1548" spans="2:2" x14ac:dyDescent="0.3">
      <c r="B1548"/>
    </row>
    <row r="1549" spans="2:2" x14ac:dyDescent="0.3">
      <c r="B1549"/>
    </row>
    <row r="1550" spans="2:2" x14ac:dyDescent="0.3">
      <c r="B1550"/>
    </row>
    <row r="1551" spans="2:2" x14ac:dyDescent="0.3">
      <c r="B1551"/>
    </row>
    <row r="1552" spans="2:2" x14ac:dyDescent="0.3">
      <c r="B1552"/>
    </row>
    <row r="1553" spans="2:2" x14ac:dyDescent="0.3">
      <c r="B1553"/>
    </row>
    <row r="1554" spans="2:2" x14ac:dyDescent="0.3">
      <c r="B1554"/>
    </row>
    <row r="1555" spans="2:2" x14ac:dyDescent="0.3">
      <c r="B1555"/>
    </row>
    <row r="1556" spans="2:2" x14ac:dyDescent="0.3">
      <c r="B1556"/>
    </row>
    <row r="1557" spans="2:2" x14ac:dyDescent="0.3">
      <c r="B1557"/>
    </row>
    <row r="1558" spans="2:2" x14ac:dyDescent="0.3">
      <c r="B1558"/>
    </row>
    <row r="1559" spans="2:2" x14ac:dyDescent="0.3">
      <c r="B1559"/>
    </row>
    <row r="1560" spans="2:2" x14ac:dyDescent="0.3">
      <c r="B1560"/>
    </row>
    <row r="1561" spans="2:2" x14ac:dyDescent="0.3">
      <c r="B1561"/>
    </row>
    <row r="1562" spans="2:2" x14ac:dyDescent="0.3">
      <c r="B1562"/>
    </row>
    <row r="1563" spans="2:2" x14ac:dyDescent="0.3">
      <c r="B1563"/>
    </row>
    <row r="1564" spans="2:2" x14ac:dyDescent="0.3">
      <c r="B1564"/>
    </row>
    <row r="1565" spans="2:2" x14ac:dyDescent="0.3">
      <c r="B1565"/>
    </row>
    <row r="1566" spans="2:2" x14ac:dyDescent="0.3">
      <c r="B1566"/>
    </row>
    <row r="1567" spans="2:2" x14ac:dyDescent="0.3">
      <c r="B1567"/>
    </row>
    <row r="1568" spans="2:2" x14ac:dyDescent="0.3">
      <c r="B1568"/>
    </row>
    <row r="1569" spans="2:2" x14ac:dyDescent="0.3">
      <c r="B1569"/>
    </row>
    <row r="1570" spans="2:2" x14ac:dyDescent="0.3">
      <c r="B1570"/>
    </row>
    <row r="1571" spans="2:2" x14ac:dyDescent="0.3">
      <c r="B1571"/>
    </row>
    <row r="1572" spans="2:2" x14ac:dyDescent="0.3">
      <c r="B1572"/>
    </row>
    <row r="1573" spans="2:2" x14ac:dyDescent="0.3">
      <c r="B1573"/>
    </row>
    <row r="1574" spans="2:2" x14ac:dyDescent="0.3">
      <c r="B1574"/>
    </row>
    <row r="1575" spans="2:2" x14ac:dyDescent="0.3">
      <c r="B1575"/>
    </row>
    <row r="1576" spans="2:2" x14ac:dyDescent="0.3">
      <c r="B1576"/>
    </row>
    <row r="1577" spans="2:2" x14ac:dyDescent="0.3">
      <c r="B1577"/>
    </row>
    <row r="1578" spans="2:2" x14ac:dyDescent="0.3">
      <c r="B1578"/>
    </row>
    <row r="1579" spans="2:2" x14ac:dyDescent="0.3">
      <c r="B1579"/>
    </row>
    <row r="1580" spans="2:2" x14ac:dyDescent="0.3">
      <c r="B1580"/>
    </row>
    <row r="1581" spans="2:2" x14ac:dyDescent="0.3">
      <c r="B1581"/>
    </row>
    <row r="1582" spans="2:2" x14ac:dyDescent="0.3">
      <c r="B1582"/>
    </row>
    <row r="1583" spans="2:2" x14ac:dyDescent="0.3">
      <c r="B1583"/>
    </row>
    <row r="1584" spans="2:2" x14ac:dyDescent="0.3">
      <c r="B1584"/>
    </row>
    <row r="1585" spans="2:2" x14ac:dyDescent="0.3">
      <c r="B1585"/>
    </row>
    <row r="1586" spans="2:2" x14ac:dyDescent="0.3">
      <c r="B1586"/>
    </row>
    <row r="1587" spans="2:2" x14ac:dyDescent="0.3">
      <c r="B1587"/>
    </row>
    <row r="1588" spans="2:2" x14ac:dyDescent="0.3">
      <c r="B1588"/>
    </row>
    <row r="1589" spans="2:2" x14ac:dyDescent="0.3">
      <c r="B1589"/>
    </row>
    <row r="1590" spans="2:2" x14ac:dyDescent="0.3">
      <c r="B1590"/>
    </row>
    <row r="1591" spans="2:2" x14ac:dyDescent="0.3">
      <c r="B1591"/>
    </row>
    <row r="1592" spans="2:2" x14ac:dyDescent="0.3">
      <c r="B1592"/>
    </row>
    <row r="1593" spans="2:2" x14ac:dyDescent="0.3">
      <c r="B1593"/>
    </row>
    <row r="1594" spans="2:2" x14ac:dyDescent="0.3">
      <c r="B1594"/>
    </row>
    <row r="1595" spans="2:2" x14ac:dyDescent="0.3">
      <c r="B1595"/>
    </row>
    <row r="1596" spans="2:2" x14ac:dyDescent="0.3">
      <c r="B1596"/>
    </row>
    <row r="1597" spans="2:2" x14ac:dyDescent="0.3">
      <c r="B1597"/>
    </row>
    <row r="1598" spans="2:2" x14ac:dyDescent="0.3">
      <c r="B1598"/>
    </row>
    <row r="1599" spans="2:2" x14ac:dyDescent="0.3">
      <c r="B1599"/>
    </row>
    <row r="1600" spans="2:2" x14ac:dyDescent="0.3">
      <c r="B1600"/>
    </row>
    <row r="1601" spans="2:2" x14ac:dyDescent="0.3">
      <c r="B1601"/>
    </row>
    <row r="1602" spans="2:2" x14ac:dyDescent="0.3">
      <c r="B1602"/>
    </row>
    <row r="1603" spans="2:2" x14ac:dyDescent="0.3">
      <c r="B1603"/>
    </row>
    <row r="1604" spans="2:2" x14ac:dyDescent="0.3">
      <c r="B1604"/>
    </row>
    <row r="1605" spans="2:2" x14ac:dyDescent="0.3">
      <c r="B1605"/>
    </row>
    <row r="1606" spans="2:2" x14ac:dyDescent="0.3">
      <c r="B1606"/>
    </row>
    <row r="1607" spans="2:2" x14ac:dyDescent="0.3">
      <c r="B1607"/>
    </row>
    <row r="1608" spans="2:2" x14ac:dyDescent="0.3">
      <c r="B1608"/>
    </row>
    <row r="1609" spans="2:2" x14ac:dyDescent="0.3">
      <c r="B1609"/>
    </row>
    <row r="1610" spans="2:2" x14ac:dyDescent="0.3">
      <c r="B1610"/>
    </row>
    <row r="1611" spans="2:2" x14ac:dyDescent="0.3">
      <c r="B1611"/>
    </row>
    <row r="1612" spans="2:2" x14ac:dyDescent="0.3">
      <c r="B1612"/>
    </row>
    <row r="1613" spans="2:2" x14ac:dyDescent="0.3">
      <c r="B1613"/>
    </row>
    <row r="1614" spans="2:2" x14ac:dyDescent="0.3">
      <c r="B1614"/>
    </row>
    <row r="1615" spans="2:2" x14ac:dyDescent="0.3">
      <c r="B1615"/>
    </row>
    <row r="1616" spans="2:2" x14ac:dyDescent="0.3">
      <c r="B1616"/>
    </row>
    <row r="1617" spans="2:2" x14ac:dyDescent="0.3">
      <c r="B1617"/>
    </row>
    <row r="1618" spans="2:2" x14ac:dyDescent="0.3">
      <c r="B1618"/>
    </row>
    <row r="1619" spans="2:2" x14ac:dyDescent="0.3">
      <c r="B1619"/>
    </row>
    <row r="1620" spans="2:2" x14ac:dyDescent="0.3">
      <c r="B1620"/>
    </row>
    <row r="1621" spans="2:2" x14ac:dyDescent="0.3">
      <c r="B1621"/>
    </row>
    <row r="1622" spans="2:2" x14ac:dyDescent="0.3">
      <c r="B1622"/>
    </row>
    <row r="1623" spans="2:2" x14ac:dyDescent="0.3">
      <c r="B1623"/>
    </row>
    <row r="1624" spans="2:2" x14ac:dyDescent="0.3">
      <c r="B1624"/>
    </row>
    <row r="1625" spans="2:2" x14ac:dyDescent="0.3">
      <c r="B1625"/>
    </row>
    <row r="1626" spans="2:2" x14ac:dyDescent="0.3">
      <c r="B1626"/>
    </row>
    <row r="1627" spans="2:2" x14ac:dyDescent="0.3">
      <c r="B1627"/>
    </row>
    <row r="1628" spans="2:2" x14ac:dyDescent="0.3">
      <c r="B1628"/>
    </row>
    <row r="1629" spans="2:2" x14ac:dyDescent="0.3">
      <c r="B1629"/>
    </row>
    <row r="1630" spans="2:2" x14ac:dyDescent="0.3">
      <c r="B1630"/>
    </row>
    <row r="1631" spans="2:2" x14ac:dyDescent="0.3">
      <c r="B1631"/>
    </row>
    <row r="1632" spans="2:2" x14ac:dyDescent="0.3">
      <c r="B1632"/>
    </row>
    <row r="1633" spans="2:2" x14ac:dyDescent="0.3">
      <c r="B1633"/>
    </row>
    <row r="1634" spans="2:2" x14ac:dyDescent="0.3">
      <c r="B1634"/>
    </row>
    <row r="1635" spans="2:2" x14ac:dyDescent="0.3">
      <c r="B1635"/>
    </row>
    <row r="1636" spans="2:2" x14ac:dyDescent="0.3">
      <c r="B1636"/>
    </row>
    <row r="1637" spans="2:2" x14ac:dyDescent="0.3">
      <c r="B1637"/>
    </row>
    <row r="1638" spans="2:2" x14ac:dyDescent="0.3">
      <c r="B1638"/>
    </row>
    <row r="1639" spans="2:2" x14ac:dyDescent="0.3">
      <c r="B1639"/>
    </row>
    <row r="1640" spans="2:2" x14ac:dyDescent="0.3">
      <c r="B1640"/>
    </row>
    <row r="1641" spans="2:2" x14ac:dyDescent="0.3">
      <c r="B1641"/>
    </row>
    <row r="1642" spans="2:2" x14ac:dyDescent="0.3">
      <c r="B1642"/>
    </row>
    <row r="1643" spans="2:2" x14ac:dyDescent="0.3">
      <c r="B1643"/>
    </row>
    <row r="1644" spans="2:2" x14ac:dyDescent="0.3">
      <c r="B1644"/>
    </row>
    <row r="1645" spans="2:2" x14ac:dyDescent="0.3">
      <c r="B1645"/>
    </row>
    <row r="1646" spans="2:2" x14ac:dyDescent="0.3">
      <c r="B1646"/>
    </row>
    <row r="1647" spans="2:2" x14ac:dyDescent="0.3">
      <c r="B1647"/>
    </row>
    <row r="1648" spans="2:2" x14ac:dyDescent="0.3">
      <c r="B1648"/>
    </row>
    <row r="1649" spans="2:2" x14ac:dyDescent="0.3">
      <c r="B1649"/>
    </row>
    <row r="1650" spans="2:2" x14ac:dyDescent="0.3">
      <c r="B1650"/>
    </row>
    <row r="1651" spans="2:2" x14ac:dyDescent="0.3">
      <c r="B1651"/>
    </row>
    <row r="1652" spans="2:2" x14ac:dyDescent="0.3">
      <c r="B1652"/>
    </row>
    <row r="1653" spans="2:2" x14ac:dyDescent="0.3">
      <c r="B1653"/>
    </row>
    <row r="1654" spans="2:2" x14ac:dyDescent="0.3">
      <c r="B1654"/>
    </row>
    <row r="1655" spans="2:2" x14ac:dyDescent="0.3">
      <c r="B1655"/>
    </row>
    <row r="1656" spans="2:2" x14ac:dyDescent="0.3">
      <c r="B1656"/>
    </row>
    <row r="1657" spans="2:2" x14ac:dyDescent="0.3">
      <c r="B1657"/>
    </row>
    <row r="1658" spans="2:2" x14ac:dyDescent="0.3">
      <c r="B1658"/>
    </row>
    <row r="1659" spans="2:2" x14ac:dyDescent="0.3">
      <c r="B1659"/>
    </row>
    <row r="1660" spans="2:2" x14ac:dyDescent="0.3">
      <c r="B1660"/>
    </row>
    <row r="1661" spans="2:2" x14ac:dyDescent="0.3">
      <c r="B1661"/>
    </row>
    <row r="1662" spans="2:2" x14ac:dyDescent="0.3">
      <c r="B1662"/>
    </row>
    <row r="1663" spans="2:2" x14ac:dyDescent="0.3">
      <c r="B1663"/>
    </row>
    <row r="1664" spans="2:2" x14ac:dyDescent="0.3">
      <c r="B1664"/>
    </row>
    <row r="1665" spans="2:2" x14ac:dyDescent="0.3">
      <c r="B1665"/>
    </row>
    <row r="1666" spans="2:2" x14ac:dyDescent="0.3">
      <c r="B1666"/>
    </row>
    <row r="1667" spans="2:2" x14ac:dyDescent="0.3">
      <c r="B1667"/>
    </row>
    <row r="1668" spans="2:2" x14ac:dyDescent="0.3">
      <c r="B1668"/>
    </row>
    <row r="1669" spans="2:2" x14ac:dyDescent="0.3">
      <c r="B1669"/>
    </row>
    <row r="1670" spans="2:2" x14ac:dyDescent="0.3">
      <c r="B1670"/>
    </row>
    <row r="1671" spans="2:2" x14ac:dyDescent="0.3">
      <c r="B1671"/>
    </row>
    <row r="1672" spans="2:2" x14ac:dyDescent="0.3">
      <c r="B1672"/>
    </row>
    <row r="1673" spans="2:2" x14ac:dyDescent="0.3">
      <c r="B1673"/>
    </row>
    <row r="1674" spans="2:2" x14ac:dyDescent="0.3">
      <c r="B1674"/>
    </row>
    <row r="1675" spans="2:2" x14ac:dyDescent="0.3">
      <c r="B1675"/>
    </row>
    <row r="1676" spans="2:2" x14ac:dyDescent="0.3">
      <c r="B1676"/>
    </row>
    <row r="1677" spans="2:2" x14ac:dyDescent="0.3">
      <c r="B1677"/>
    </row>
    <row r="1678" spans="2:2" x14ac:dyDescent="0.3">
      <c r="B1678"/>
    </row>
    <row r="1679" spans="2:2" x14ac:dyDescent="0.3">
      <c r="B1679"/>
    </row>
    <row r="1680" spans="2:2" x14ac:dyDescent="0.3">
      <c r="B1680"/>
    </row>
    <row r="1681" spans="2:2" x14ac:dyDescent="0.3">
      <c r="B1681"/>
    </row>
    <row r="1682" spans="2:2" x14ac:dyDescent="0.3">
      <c r="B1682"/>
    </row>
    <row r="1683" spans="2:2" x14ac:dyDescent="0.3">
      <c r="B1683"/>
    </row>
    <row r="1684" spans="2:2" x14ac:dyDescent="0.3">
      <c r="B1684"/>
    </row>
    <row r="1685" spans="2:2" x14ac:dyDescent="0.3">
      <c r="B1685"/>
    </row>
    <row r="1686" spans="2:2" x14ac:dyDescent="0.3">
      <c r="B1686"/>
    </row>
    <row r="1687" spans="2:2" x14ac:dyDescent="0.3">
      <c r="B1687"/>
    </row>
    <row r="1688" spans="2:2" x14ac:dyDescent="0.3">
      <c r="B1688"/>
    </row>
    <row r="1689" spans="2:2" x14ac:dyDescent="0.3">
      <c r="B1689"/>
    </row>
    <row r="1690" spans="2:2" x14ac:dyDescent="0.3">
      <c r="B1690"/>
    </row>
    <row r="1691" spans="2:2" x14ac:dyDescent="0.3">
      <c r="B1691"/>
    </row>
    <row r="1692" spans="2:2" x14ac:dyDescent="0.3">
      <c r="B1692"/>
    </row>
    <row r="1693" spans="2:2" x14ac:dyDescent="0.3">
      <c r="B1693"/>
    </row>
    <row r="1694" spans="2:2" x14ac:dyDescent="0.3">
      <c r="B1694"/>
    </row>
    <row r="1695" spans="2:2" x14ac:dyDescent="0.3">
      <c r="B1695"/>
    </row>
    <row r="1696" spans="2:2" x14ac:dyDescent="0.3">
      <c r="B1696"/>
    </row>
    <row r="1697" spans="2:2" x14ac:dyDescent="0.3">
      <c r="B1697"/>
    </row>
    <row r="1698" spans="2:2" x14ac:dyDescent="0.3">
      <c r="B1698"/>
    </row>
    <row r="1699" spans="2:2" x14ac:dyDescent="0.3">
      <c r="B1699"/>
    </row>
    <row r="1700" spans="2:2" x14ac:dyDescent="0.3">
      <c r="B1700"/>
    </row>
    <row r="1701" spans="2:2" x14ac:dyDescent="0.3">
      <c r="B1701"/>
    </row>
    <row r="1702" spans="2:2" x14ac:dyDescent="0.3">
      <c r="B1702"/>
    </row>
    <row r="1703" spans="2:2" x14ac:dyDescent="0.3">
      <c r="B1703"/>
    </row>
    <row r="1704" spans="2:2" x14ac:dyDescent="0.3">
      <c r="B1704"/>
    </row>
    <row r="1705" spans="2:2" x14ac:dyDescent="0.3">
      <c r="B1705"/>
    </row>
    <row r="1706" spans="2:2" x14ac:dyDescent="0.3">
      <c r="B1706"/>
    </row>
    <row r="1707" spans="2:2" x14ac:dyDescent="0.3">
      <c r="B1707"/>
    </row>
    <row r="1708" spans="2:2" x14ac:dyDescent="0.3">
      <c r="B1708"/>
    </row>
    <row r="1709" spans="2:2" x14ac:dyDescent="0.3">
      <c r="B1709"/>
    </row>
    <row r="1710" spans="2:2" x14ac:dyDescent="0.3">
      <c r="B1710"/>
    </row>
    <row r="1711" spans="2:2" x14ac:dyDescent="0.3">
      <c r="B1711"/>
    </row>
    <row r="1712" spans="2:2" x14ac:dyDescent="0.3">
      <c r="B1712"/>
    </row>
    <row r="1713" spans="2:2" x14ac:dyDescent="0.3">
      <c r="B1713"/>
    </row>
    <row r="1714" spans="2:2" x14ac:dyDescent="0.3">
      <c r="B1714"/>
    </row>
    <row r="1715" spans="2:2" x14ac:dyDescent="0.3">
      <c r="B1715"/>
    </row>
    <row r="1716" spans="2:2" x14ac:dyDescent="0.3">
      <c r="B1716"/>
    </row>
    <row r="1717" spans="2:2" x14ac:dyDescent="0.3">
      <c r="B1717"/>
    </row>
    <row r="1718" spans="2:2" x14ac:dyDescent="0.3">
      <c r="B1718"/>
    </row>
    <row r="1719" spans="2:2" x14ac:dyDescent="0.3">
      <c r="B1719"/>
    </row>
    <row r="1720" spans="2:2" x14ac:dyDescent="0.3">
      <c r="B1720"/>
    </row>
    <row r="1721" spans="2:2" x14ac:dyDescent="0.3">
      <c r="B1721"/>
    </row>
    <row r="1722" spans="2:2" x14ac:dyDescent="0.3">
      <c r="B1722"/>
    </row>
    <row r="1723" spans="2:2" x14ac:dyDescent="0.3">
      <c r="B1723"/>
    </row>
    <row r="1724" spans="2:2" x14ac:dyDescent="0.3">
      <c r="B1724"/>
    </row>
    <row r="1725" spans="2:2" x14ac:dyDescent="0.3">
      <c r="B1725"/>
    </row>
    <row r="1726" spans="2:2" x14ac:dyDescent="0.3">
      <c r="B1726"/>
    </row>
    <row r="1727" spans="2:2" x14ac:dyDescent="0.3">
      <c r="B1727"/>
    </row>
    <row r="1728" spans="2:2" x14ac:dyDescent="0.3">
      <c r="B1728"/>
    </row>
    <row r="1729" spans="2:2" x14ac:dyDescent="0.3">
      <c r="B1729"/>
    </row>
    <row r="1730" spans="2:2" x14ac:dyDescent="0.3">
      <c r="B1730"/>
    </row>
    <row r="1731" spans="2:2" x14ac:dyDescent="0.3">
      <c r="B1731"/>
    </row>
    <row r="1732" spans="2:2" x14ac:dyDescent="0.3">
      <c r="B1732"/>
    </row>
    <row r="1733" spans="2:2" x14ac:dyDescent="0.3">
      <c r="B1733"/>
    </row>
    <row r="1734" spans="2:2" x14ac:dyDescent="0.3">
      <c r="B1734"/>
    </row>
    <row r="1735" spans="2:2" x14ac:dyDescent="0.3">
      <c r="B1735"/>
    </row>
    <row r="1736" spans="2:2" x14ac:dyDescent="0.3">
      <c r="B1736"/>
    </row>
    <row r="1737" spans="2:2" x14ac:dyDescent="0.3">
      <c r="B1737"/>
    </row>
    <row r="1738" spans="2:2" x14ac:dyDescent="0.3">
      <c r="B1738"/>
    </row>
    <row r="1739" spans="2:2" x14ac:dyDescent="0.3">
      <c r="B1739"/>
    </row>
    <row r="1740" spans="2:2" x14ac:dyDescent="0.3">
      <c r="B1740"/>
    </row>
    <row r="1741" spans="2:2" x14ac:dyDescent="0.3">
      <c r="B1741"/>
    </row>
    <row r="1742" spans="2:2" x14ac:dyDescent="0.3">
      <c r="B1742"/>
    </row>
    <row r="1743" spans="2:2" x14ac:dyDescent="0.3">
      <c r="B1743"/>
    </row>
    <row r="1744" spans="2:2" x14ac:dyDescent="0.3">
      <c r="B1744"/>
    </row>
    <row r="1745" spans="2:2" x14ac:dyDescent="0.3">
      <c r="B1745"/>
    </row>
    <row r="1746" spans="2:2" x14ac:dyDescent="0.3">
      <c r="B1746"/>
    </row>
    <row r="1747" spans="2:2" x14ac:dyDescent="0.3">
      <c r="B1747"/>
    </row>
    <row r="1748" spans="2:2" x14ac:dyDescent="0.3">
      <c r="B1748"/>
    </row>
    <row r="1749" spans="2:2" x14ac:dyDescent="0.3">
      <c r="B1749"/>
    </row>
    <row r="1750" spans="2:2" x14ac:dyDescent="0.3">
      <c r="B1750"/>
    </row>
    <row r="1751" spans="2:2" x14ac:dyDescent="0.3">
      <c r="B1751"/>
    </row>
    <row r="1752" spans="2:2" x14ac:dyDescent="0.3">
      <c r="B1752"/>
    </row>
    <row r="1753" spans="2:2" x14ac:dyDescent="0.3">
      <c r="B1753"/>
    </row>
    <row r="1754" spans="2:2" x14ac:dyDescent="0.3">
      <c r="B1754"/>
    </row>
    <row r="1755" spans="2:2" x14ac:dyDescent="0.3">
      <c r="B1755"/>
    </row>
    <row r="1756" spans="2:2" x14ac:dyDescent="0.3">
      <c r="B1756"/>
    </row>
    <row r="1757" spans="2:2" x14ac:dyDescent="0.3">
      <c r="B1757"/>
    </row>
    <row r="1758" spans="2:2" x14ac:dyDescent="0.3">
      <c r="B1758"/>
    </row>
    <row r="1759" spans="2:2" x14ac:dyDescent="0.3">
      <c r="B1759"/>
    </row>
    <row r="1760" spans="2:2" x14ac:dyDescent="0.3">
      <c r="B1760"/>
    </row>
    <row r="1761" spans="2:2" x14ac:dyDescent="0.3">
      <c r="B1761"/>
    </row>
    <row r="1762" spans="2:2" x14ac:dyDescent="0.3">
      <c r="B1762"/>
    </row>
    <row r="1763" spans="2:2" x14ac:dyDescent="0.3">
      <c r="B1763"/>
    </row>
    <row r="1764" spans="2:2" x14ac:dyDescent="0.3">
      <c r="B1764"/>
    </row>
    <row r="1765" spans="2:2" x14ac:dyDescent="0.3">
      <c r="B1765"/>
    </row>
    <row r="1766" spans="2:2" x14ac:dyDescent="0.3">
      <c r="B1766"/>
    </row>
    <row r="1767" spans="2:2" x14ac:dyDescent="0.3">
      <c r="B1767"/>
    </row>
    <row r="1768" spans="2:2" x14ac:dyDescent="0.3">
      <c r="B1768"/>
    </row>
    <row r="1769" spans="2:2" x14ac:dyDescent="0.3">
      <c r="B1769"/>
    </row>
    <row r="1770" spans="2:2" x14ac:dyDescent="0.3">
      <c r="B1770"/>
    </row>
    <row r="1771" spans="2:2" x14ac:dyDescent="0.3">
      <c r="B1771"/>
    </row>
    <row r="1772" spans="2:2" x14ac:dyDescent="0.3">
      <c r="B1772"/>
    </row>
    <row r="1773" spans="2:2" x14ac:dyDescent="0.3">
      <c r="B1773"/>
    </row>
    <row r="1774" spans="2:2" x14ac:dyDescent="0.3">
      <c r="B1774"/>
    </row>
    <row r="1775" spans="2:2" x14ac:dyDescent="0.3">
      <c r="B1775"/>
    </row>
    <row r="1776" spans="2:2" x14ac:dyDescent="0.3">
      <c r="B1776"/>
    </row>
    <row r="1777" spans="2:2" x14ac:dyDescent="0.3">
      <c r="B1777"/>
    </row>
    <row r="1778" spans="2:2" x14ac:dyDescent="0.3">
      <c r="B1778"/>
    </row>
    <row r="1779" spans="2:2" x14ac:dyDescent="0.3">
      <c r="B1779"/>
    </row>
    <row r="1780" spans="2:2" x14ac:dyDescent="0.3">
      <c r="B1780"/>
    </row>
    <row r="1781" spans="2:2" x14ac:dyDescent="0.3">
      <c r="B1781"/>
    </row>
    <row r="1782" spans="2:2" x14ac:dyDescent="0.3">
      <c r="B1782"/>
    </row>
    <row r="1783" spans="2:2" x14ac:dyDescent="0.3">
      <c r="B1783"/>
    </row>
    <row r="1784" spans="2:2" x14ac:dyDescent="0.3">
      <c r="B1784"/>
    </row>
    <row r="1785" spans="2:2" x14ac:dyDescent="0.3">
      <c r="B1785"/>
    </row>
    <row r="1786" spans="2:2" x14ac:dyDescent="0.3">
      <c r="B1786"/>
    </row>
    <row r="1787" spans="2:2" x14ac:dyDescent="0.3">
      <c r="B1787"/>
    </row>
    <row r="1788" spans="2:2" x14ac:dyDescent="0.3">
      <c r="B1788"/>
    </row>
    <row r="1789" spans="2:2" x14ac:dyDescent="0.3">
      <c r="B1789"/>
    </row>
    <row r="1790" spans="2:2" x14ac:dyDescent="0.3">
      <c r="B1790"/>
    </row>
    <row r="1791" spans="2:2" x14ac:dyDescent="0.3">
      <c r="B1791"/>
    </row>
    <row r="1792" spans="2:2" x14ac:dyDescent="0.3">
      <c r="B1792"/>
    </row>
    <row r="1793" spans="2:2" x14ac:dyDescent="0.3">
      <c r="B1793"/>
    </row>
    <row r="1794" spans="2:2" x14ac:dyDescent="0.3">
      <c r="B1794"/>
    </row>
    <row r="1795" spans="2:2" x14ac:dyDescent="0.3">
      <c r="B1795"/>
    </row>
    <row r="1796" spans="2:2" x14ac:dyDescent="0.3">
      <c r="B1796"/>
    </row>
    <row r="1797" spans="2:2" x14ac:dyDescent="0.3">
      <c r="B1797"/>
    </row>
    <row r="1798" spans="2:2" x14ac:dyDescent="0.3">
      <c r="B1798"/>
    </row>
    <row r="1799" spans="2:2" x14ac:dyDescent="0.3">
      <c r="B1799"/>
    </row>
    <row r="1800" spans="2:2" x14ac:dyDescent="0.3">
      <c r="B1800"/>
    </row>
    <row r="1801" spans="2:2" x14ac:dyDescent="0.3">
      <c r="B1801"/>
    </row>
    <row r="1802" spans="2:2" x14ac:dyDescent="0.3">
      <c r="B1802"/>
    </row>
    <row r="1803" spans="2:2" x14ac:dyDescent="0.3">
      <c r="B1803"/>
    </row>
    <row r="1804" spans="2:2" x14ac:dyDescent="0.3">
      <c r="B1804"/>
    </row>
    <row r="1805" spans="2:2" x14ac:dyDescent="0.3">
      <c r="B1805"/>
    </row>
    <row r="1806" spans="2:2" x14ac:dyDescent="0.3">
      <c r="B1806"/>
    </row>
    <row r="1807" spans="2:2" x14ac:dyDescent="0.3">
      <c r="B1807"/>
    </row>
    <row r="1808" spans="2:2" x14ac:dyDescent="0.3">
      <c r="B1808"/>
    </row>
    <row r="1809" spans="2:2" x14ac:dyDescent="0.3">
      <c r="B1809"/>
    </row>
    <row r="1810" spans="2:2" x14ac:dyDescent="0.3">
      <c r="B1810"/>
    </row>
    <row r="1811" spans="2:2" x14ac:dyDescent="0.3">
      <c r="B1811"/>
    </row>
    <row r="1812" spans="2:2" x14ac:dyDescent="0.3">
      <c r="B1812"/>
    </row>
    <row r="1813" spans="2:2" x14ac:dyDescent="0.3">
      <c r="B1813"/>
    </row>
    <row r="1814" spans="2:2" x14ac:dyDescent="0.3">
      <c r="B1814"/>
    </row>
    <row r="1815" spans="2:2" x14ac:dyDescent="0.3">
      <c r="B1815"/>
    </row>
    <row r="1816" spans="2:2" x14ac:dyDescent="0.3">
      <c r="B1816"/>
    </row>
    <row r="1817" spans="2:2" x14ac:dyDescent="0.3">
      <c r="B1817"/>
    </row>
    <row r="1818" spans="2:2" x14ac:dyDescent="0.3">
      <c r="B1818"/>
    </row>
    <row r="1819" spans="2:2" x14ac:dyDescent="0.3">
      <c r="B1819"/>
    </row>
    <row r="1820" spans="2:2" x14ac:dyDescent="0.3">
      <c r="B1820"/>
    </row>
    <row r="1821" spans="2:2" x14ac:dyDescent="0.3">
      <c r="B1821"/>
    </row>
    <row r="1822" spans="2:2" x14ac:dyDescent="0.3">
      <c r="B1822"/>
    </row>
    <row r="1823" spans="2:2" x14ac:dyDescent="0.3">
      <c r="B1823"/>
    </row>
    <row r="1824" spans="2:2" x14ac:dyDescent="0.3">
      <c r="B1824"/>
    </row>
    <row r="1825" spans="2:2" x14ac:dyDescent="0.3">
      <c r="B1825"/>
    </row>
    <row r="1826" spans="2:2" x14ac:dyDescent="0.3">
      <c r="B1826"/>
    </row>
    <row r="1827" spans="2:2" x14ac:dyDescent="0.3">
      <c r="B1827"/>
    </row>
    <row r="1828" spans="2:2" x14ac:dyDescent="0.3">
      <c r="B1828"/>
    </row>
    <row r="1829" spans="2:2" x14ac:dyDescent="0.3">
      <c r="B1829"/>
    </row>
    <row r="1830" spans="2:2" x14ac:dyDescent="0.3">
      <c r="B1830"/>
    </row>
    <row r="1831" spans="2:2" x14ac:dyDescent="0.3">
      <c r="B1831"/>
    </row>
    <row r="1832" spans="2:2" x14ac:dyDescent="0.3">
      <c r="B1832"/>
    </row>
    <row r="1833" spans="2:2" x14ac:dyDescent="0.3">
      <c r="B1833"/>
    </row>
    <row r="1834" spans="2:2" x14ac:dyDescent="0.3">
      <c r="B1834"/>
    </row>
    <row r="1835" spans="2:2" x14ac:dyDescent="0.3">
      <c r="B1835"/>
    </row>
    <row r="1836" spans="2:2" x14ac:dyDescent="0.3">
      <c r="B1836"/>
    </row>
    <row r="1837" spans="2:2" x14ac:dyDescent="0.3">
      <c r="B1837"/>
    </row>
    <row r="1838" spans="2:2" x14ac:dyDescent="0.3">
      <c r="B1838"/>
    </row>
    <row r="1839" spans="2:2" x14ac:dyDescent="0.3">
      <c r="B1839"/>
    </row>
    <row r="1840" spans="2:2" x14ac:dyDescent="0.3">
      <c r="B1840"/>
    </row>
    <row r="1841" spans="2:2" x14ac:dyDescent="0.3">
      <c r="B1841"/>
    </row>
    <row r="1842" spans="2:2" x14ac:dyDescent="0.3">
      <c r="B1842"/>
    </row>
    <row r="1843" spans="2:2" x14ac:dyDescent="0.3">
      <c r="B1843"/>
    </row>
    <row r="1844" spans="2:2" x14ac:dyDescent="0.3">
      <c r="B1844"/>
    </row>
    <row r="1845" spans="2:2" x14ac:dyDescent="0.3">
      <c r="B1845"/>
    </row>
    <row r="1846" spans="2:2" x14ac:dyDescent="0.3">
      <c r="B1846"/>
    </row>
    <row r="1847" spans="2:2" x14ac:dyDescent="0.3">
      <c r="B1847"/>
    </row>
    <row r="1848" spans="2:2" x14ac:dyDescent="0.3">
      <c r="B1848"/>
    </row>
    <row r="1849" spans="2:2" x14ac:dyDescent="0.3">
      <c r="B1849"/>
    </row>
    <row r="1850" spans="2:2" x14ac:dyDescent="0.3">
      <c r="B1850"/>
    </row>
    <row r="1851" spans="2:2" x14ac:dyDescent="0.3">
      <c r="B1851"/>
    </row>
    <row r="1852" spans="2:2" x14ac:dyDescent="0.3">
      <c r="B1852"/>
    </row>
    <row r="1853" spans="2:2" x14ac:dyDescent="0.3">
      <c r="B1853"/>
    </row>
    <row r="1854" spans="2:2" x14ac:dyDescent="0.3">
      <c r="B1854"/>
    </row>
    <row r="1855" spans="2:2" x14ac:dyDescent="0.3">
      <c r="B1855"/>
    </row>
    <row r="1856" spans="2:2" x14ac:dyDescent="0.3">
      <c r="B1856"/>
    </row>
    <row r="1857" spans="2:2" x14ac:dyDescent="0.3">
      <c r="B1857"/>
    </row>
    <row r="1858" spans="2:2" x14ac:dyDescent="0.3">
      <c r="B1858"/>
    </row>
    <row r="1859" spans="2:2" x14ac:dyDescent="0.3">
      <c r="B1859"/>
    </row>
    <row r="1860" spans="2:2" x14ac:dyDescent="0.3">
      <c r="B1860"/>
    </row>
    <row r="1861" spans="2:2" x14ac:dyDescent="0.3">
      <c r="B1861"/>
    </row>
    <row r="1862" spans="2:2" x14ac:dyDescent="0.3">
      <c r="B1862"/>
    </row>
    <row r="1863" spans="2:2" x14ac:dyDescent="0.3">
      <c r="B1863"/>
    </row>
    <row r="1864" spans="2:2" x14ac:dyDescent="0.3">
      <c r="B1864"/>
    </row>
    <row r="1865" spans="2:2" x14ac:dyDescent="0.3">
      <c r="B1865"/>
    </row>
    <row r="1866" spans="2:2" x14ac:dyDescent="0.3">
      <c r="B1866"/>
    </row>
    <row r="1867" spans="2:2" x14ac:dyDescent="0.3">
      <c r="B1867"/>
    </row>
    <row r="1868" spans="2:2" x14ac:dyDescent="0.3">
      <c r="B1868"/>
    </row>
    <row r="1869" spans="2:2" x14ac:dyDescent="0.3">
      <c r="B1869"/>
    </row>
    <row r="1870" spans="2:2" x14ac:dyDescent="0.3">
      <c r="B1870"/>
    </row>
    <row r="1871" spans="2:2" x14ac:dyDescent="0.3">
      <c r="B1871"/>
    </row>
    <row r="1872" spans="2:2" x14ac:dyDescent="0.3">
      <c r="B1872"/>
    </row>
    <row r="1873" spans="2:2" x14ac:dyDescent="0.3">
      <c r="B1873"/>
    </row>
    <row r="1874" spans="2:2" x14ac:dyDescent="0.3">
      <c r="B1874"/>
    </row>
    <row r="1875" spans="2:2" x14ac:dyDescent="0.3">
      <c r="B1875"/>
    </row>
    <row r="1876" spans="2:2" x14ac:dyDescent="0.3">
      <c r="B1876"/>
    </row>
    <row r="1877" spans="2:2" x14ac:dyDescent="0.3">
      <c r="B1877"/>
    </row>
    <row r="1878" spans="2:2" x14ac:dyDescent="0.3">
      <c r="B1878"/>
    </row>
    <row r="1879" spans="2:2" x14ac:dyDescent="0.3">
      <c r="B1879"/>
    </row>
    <row r="1880" spans="2:2" x14ac:dyDescent="0.3">
      <c r="B1880"/>
    </row>
    <row r="1881" spans="2:2" x14ac:dyDescent="0.3">
      <c r="B1881"/>
    </row>
    <row r="1882" spans="2:2" x14ac:dyDescent="0.3">
      <c r="B1882"/>
    </row>
    <row r="1883" spans="2:2" x14ac:dyDescent="0.3">
      <c r="B1883"/>
    </row>
    <row r="1884" spans="2:2" x14ac:dyDescent="0.3">
      <c r="B1884"/>
    </row>
    <row r="1885" spans="2:2" x14ac:dyDescent="0.3">
      <c r="B1885"/>
    </row>
    <row r="1886" spans="2:2" x14ac:dyDescent="0.3">
      <c r="B1886"/>
    </row>
    <row r="1887" spans="2:2" x14ac:dyDescent="0.3">
      <c r="B1887"/>
    </row>
    <row r="1888" spans="2:2" x14ac:dyDescent="0.3">
      <c r="B1888"/>
    </row>
    <row r="1889" spans="2:2" x14ac:dyDescent="0.3">
      <c r="B1889"/>
    </row>
    <row r="1890" spans="2:2" x14ac:dyDescent="0.3">
      <c r="B1890"/>
    </row>
    <row r="1891" spans="2:2" x14ac:dyDescent="0.3">
      <c r="B1891"/>
    </row>
    <row r="1892" spans="2:2" x14ac:dyDescent="0.3">
      <c r="B1892"/>
    </row>
    <row r="1893" spans="2:2" x14ac:dyDescent="0.3">
      <c r="B1893"/>
    </row>
    <row r="1894" spans="2:2" x14ac:dyDescent="0.3">
      <c r="B1894"/>
    </row>
    <row r="1895" spans="2:2" x14ac:dyDescent="0.3">
      <c r="B1895"/>
    </row>
    <row r="1896" spans="2:2" x14ac:dyDescent="0.3">
      <c r="B1896"/>
    </row>
    <row r="1897" spans="2:2" x14ac:dyDescent="0.3">
      <c r="B1897"/>
    </row>
    <row r="1898" spans="2:2" x14ac:dyDescent="0.3">
      <c r="B1898"/>
    </row>
    <row r="1899" spans="2:2" x14ac:dyDescent="0.3">
      <c r="B1899"/>
    </row>
    <row r="1900" spans="2:2" x14ac:dyDescent="0.3">
      <c r="B1900"/>
    </row>
    <row r="1901" spans="2:2" x14ac:dyDescent="0.3">
      <c r="B1901"/>
    </row>
    <row r="1902" spans="2:2" x14ac:dyDescent="0.3">
      <c r="B1902"/>
    </row>
    <row r="1903" spans="2:2" x14ac:dyDescent="0.3">
      <c r="B1903"/>
    </row>
    <row r="1904" spans="2:2" x14ac:dyDescent="0.3">
      <c r="B1904"/>
    </row>
    <row r="1905" spans="2:2" x14ac:dyDescent="0.3">
      <c r="B1905"/>
    </row>
    <row r="1906" spans="2:2" x14ac:dyDescent="0.3">
      <c r="B1906"/>
    </row>
    <row r="1907" spans="2:2" x14ac:dyDescent="0.3">
      <c r="B1907"/>
    </row>
    <row r="1908" spans="2:2" x14ac:dyDescent="0.3">
      <c r="B1908"/>
    </row>
    <row r="1909" spans="2:2" x14ac:dyDescent="0.3">
      <c r="B1909"/>
    </row>
    <row r="1910" spans="2:2" x14ac:dyDescent="0.3">
      <c r="B1910"/>
    </row>
    <row r="1911" spans="2:2" x14ac:dyDescent="0.3">
      <c r="B1911"/>
    </row>
    <row r="1912" spans="2:2" x14ac:dyDescent="0.3">
      <c r="B1912"/>
    </row>
    <row r="1913" spans="2:2" x14ac:dyDescent="0.3">
      <c r="B1913"/>
    </row>
    <row r="1914" spans="2:2" x14ac:dyDescent="0.3">
      <c r="B1914"/>
    </row>
    <row r="1915" spans="2:2" x14ac:dyDescent="0.3">
      <c r="B1915"/>
    </row>
    <row r="1916" spans="2:2" x14ac:dyDescent="0.3">
      <c r="B1916"/>
    </row>
    <row r="1917" spans="2:2" x14ac:dyDescent="0.3">
      <c r="B1917"/>
    </row>
    <row r="1918" spans="2:2" x14ac:dyDescent="0.3">
      <c r="B1918"/>
    </row>
    <row r="1919" spans="2:2" x14ac:dyDescent="0.3">
      <c r="B1919"/>
    </row>
    <row r="1920" spans="2:2" x14ac:dyDescent="0.3">
      <c r="B1920"/>
    </row>
    <row r="1921" spans="2:2" x14ac:dyDescent="0.3">
      <c r="B1921"/>
    </row>
    <row r="1922" spans="2:2" x14ac:dyDescent="0.3">
      <c r="B1922"/>
    </row>
    <row r="1923" spans="2:2" x14ac:dyDescent="0.3">
      <c r="B1923"/>
    </row>
    <row r="1924" spans="2:2" x14ac:dyDescent="0.3">
      <c r="B1924"/>
    </row>
    <row r="1925" spans="2:2" x14ac:dyDescent="0.3">
      <c r="B1925"/>
    </row>
    <row r="1926" spans="2:2" x14ac:dyDescent="0.3">
      <c r="B1926"/>
    </row>
    <row r="1927" spans="2:2" x14ac:dyDescent="0.3">
      <c r="B1927"/>
    </row>
    <row r="1928" spans="2:2" x14ac:dyDescent="0.3">
      <c r="B1928"/>
    </row>
    <row r="1929" spans="2:2" x14ac:dyDescent="0.3">
      <c r="B1929"/>
    </row>
    <row r="1930" spans="2:2" x14ac:dyDescent="0.3">
      <c r="B1930"/>
    </row>
    <row r="1931" spans="2:2" x14ac:dyDescent="0.3">
      <c r="B1931"/>
    </row>
    <row r="1932" spans="2:2" x14ac:dyDescent="0.3">
      <c r="B1932"/>
    </row>
    <row r="1933" spans="2:2" x14ac:dyDescent="0.3">
      <c r="B1933"/>
    </row>
    <row r="1934" spans="2:2" x14ac:dyDescent="0.3">
      <c r="B1934"/>
    </row>
    <row r="1935" spans="2:2" x14ac:dyDescent="0.3">
      <c r="B1935"/>
    </row>
    <row r="1936" spans="2:2" x14ac:dyDescent="0.3">
      <c r="B1936"/>
    </row>
    <row r="1937" spans="2:2" x14ac:dyDescent="0.3">
      <c r="B1937"/>
    </row>
    <row r="1938" spans="2:2" x14ac:dyDescent="0.3">
      <c r="B1938"/>
    </row>
    <row r="1939" spans="2:2" x14ac:dyDescent="0.3">
      <c r="B1939"/>
    </row>
    <row r="1940" spans="2:2" x14ac:dyDescent="0.3">
      <c r="B1940"/>
    </row>
    <row r="1941" spans="2:2" x14ac:dyDescent="0.3">
      <c r="B1941"/>
    </row>
    <row r="1942" spans="2:2" x14ac:dyDescent="0.3">
      <c r="B1942"/>
    </row>
    <row r="1943" spans="2:2" x14ac:dyDescent="0.3">
      <c r="B1943"/>
    </row>
    <row r="1944" spans="2:2" x14ac:dyDescent="0.3">
      <c r="B1944"/>
    </row>
    <row r="1945" spans="2:2" x14ac:dyDescent="0.3">
      <c r="B1945"/>
    </row>
    <row r="1946" spans="2:2" x14ac:dyDescent="0.3">
      <c r="B1946"/>
    </row>
    <row r="1947" spans="2:2" x14ac:dyDescent="0.3">
      <c r="B1947"/>
    </row>
    <row r="1948" spans="2:2" x14ac:dyDescent="0.3">
      <c r="B1948"/>
    </row>
    <row r="1949" spans="2:2" x14ac:dyDescent="0.3">
      <c r="B1949"/>
    </row>
    <row r="1950" spans="2:2" x14ac:dyDescent="0.3">
      <c r="B1950"/>
    </row>
    <row r="1951" spans="2:2" x14ac:dyDescent="0.3">
      <c r="B1951"/>
    </row>
    <row r="1952" spans="2:2" x14ac:dyDescent="0.3">
      <c r="B1952"/>
    </row>
    <row r="1953" spans="2:2" x14ac:dyDescent="0.3">
      <c r="B1953"/>
    </row>
    <row r="1954" spans="2:2" x14ac:dyDescent="0.3">
      <c r="B1954"/>
    </row>
    <row r="1955" spans="2:2" x14ac:dyDescent="0.3">
      <c r="B1955"/>
    </row>
    <row r="1956" spans="2:2" x14ac:dyDescent="0.3">
      <c r="B1956"/>
    </row>
    <row r="1957" spans="2:2" x14ac:dyDescent="0.3">
      <c r="B1957"/>
    </row>
    <row r="1958" spans="2:2" x14ac:dyDescent="0.3">
      <c r="B1958"/>
    </row>
    <row r="1959" spans="2:2" x14ac:dyDescent="0.3">
      <c r="B1959"/>
    </row>
    <row r="1960" spans="2:2" x14ac:dyDescent="0.3">
      <c r="B1960"/>
    </row>
    <row r="1961" spans="2:2" x14ac:dyDescent="0.3">
      <c r="B1961"/>
    </row>
    <row r="1962" spans="2:2" x14ac:dyDescent="0.3">
      <c r="B1962"/>
    </row>
    <row r="1963" spans="2:2" x14ac:dyDescent="0.3">
      <c r="B1963"/>
    </row>
    <row r="1964" spans="2:2" x14ac:dyDescent="0.3">
      <c r="B1964"/>
    </row>
    <row r="1965" spans="2:2" x14ac:dyDescent="0.3">
      <c r="B1965"/>
    </row>
    <row r="1966" spans="2:2" x14ac:dyDescent="0.3">
      <c r="B1966"/>
    </row>
    <row r="1967" spans="2:2" x14ac:dyDescent="0.3">
      <c r="B1967"/>
    </row>
    <row r="1968" spans="2:2" x14ac:dyDescent="0.3">
      <c r="B1968"/>
    </row>
    <row r="1969" spans="2:2" x14ac:dyDescent="0.3">
      <c r="B1969"/>
    </row>
    <row r="1970" spans="2:2" x14ac:dyDescent="0.3">
      <c r="B1970"/>
    </row>
    <row r="1971" spans="2:2" x14ac:dyDescent="0.3">
      <c r="B1971"/>
    </row>
    <row r="1972" spans="2:2" x14ac:dyDescent="0.3">
      <c r="B1972"/>
    </row>
    <row r="1973" spans="2:2" x14ac:dyDescent="0.3">
      <c r="B1973"/>
    </row>
    <row r="1974" spans="2:2" x14ac:dyDescent="0.3">
      <c r="B1974"/>
    </row>
    <row r="1975" spans="2:2" x14ac:dyDescent="0.3">
      <c r="B1975"/>
    </row>
    <row r="1976" spans="2:2" x14ac:dyDescent="0.3">
      <c r="B1976"/>
    </row>
    <row r="1977" spans="2:2" x14ac:dyDescent="0.3">
      <c r="B1977"/>
    </row>
    <row r="1978" spans="2:2" x14ac:dyDescent="0.3">
      <c r="B1978"/>
    </row>
    <row r="1979" spans="2:2" x14ac:dyDescent="0.3">
      <c r="B1979"/>
    </row>
    <row r="1980" spans="2:2" x14ac:dyDescent="0.3">
      <c r="B1980"/>
    </row>
    <row r="1981" spans="2:2" x14ac:dyDescent="0.3">
      <c r="B1981"/>
    </row>
    <row r="1982" spans="2:2" x14ac:dyDescent="0.3">
      <c r="B1982"/>
    </row>
    <row r="1983" spans="2:2" x14ac:dyDescent="0.3">
      <c r="B1983"/>
    </row>
    <row r="1984" spans="2:2" x14ac:dyDescent="0.3">
      <c r="B1984"/>
    </row>
    <row r="1985" spans="2:2" x14ac:dyDescent="0.3">
      <c r="B1985"/>
    </row>
    <row r="1986" spans="2:2" x14ac:dyDescent="0.3">
      <c r="B1986"/>
    </row>
    <row r="1987" spans="2:2" x14ac:dyDescent="0.3">
      <c r="B1987"/>
    </row>
    <row r="1988" spans="2:2" x14ac:dyDescent="0.3">
      <c r="B1988"/>
    </row>
    <row r="1989" spans="2:2" x14ac:dyDescent="0.3">
      <c r="B1989"/>
    </row>
    <row r="1990" spans="2:2" x14ac:dyDescent="0.3">
      <c r="B1990"/>
    </row>
    <row r="1991" spans="2:2" x14ac:dyDescent="0.3">
      <c r="B1991"/>
    </row>
    <row r="1992" spans="2:2" x14ac:dyDescent="0.3">
      <c r="B1992"/>
    </row>
    <row r="1993" spans="2:2" x14ac:dyDescent="0.3">
      <c r="B1993"/>
    </row>
    <row r="1994" spans="2:2" x14ac:dyDescent="0.3">
      <c r="B1994"/>
    </row>
    <row r="1995" spans="2:2" x14ac:dyDescent="0.3">
      <c r="B1995"/>
    </row>
    <row r="1996" spans="2:2" x14ac:dyDescent="0.3">
      <c r="B1996"/>
    </row>
    <row r="1997" spans="2:2" x14ac:dyDescent="0.3">
      <c r="B1997"/>
    </row>
    <row r="1998" spans="2:2" x14ac:dyDescent="0.3">
      <c r="B1998"/>
    </row>
    <row r="1999" spans="2:2" x14ac:dyDescent="0.3">
      <c r="B1999"/>
    </row>
    <row r="2000" spans="2:2" x14ac:dyDescent="0.3">
      <c r="B2000"/>
    </row>
    <row r="2001" spans="2:2" x14ac:dyDescent="0.3">
      <c r="B2001"/>
    </row>
    <row r="2002" spans="2:2" x14ac:dyDescent="0.3">
      <c r="B2002"/>
    </row>
    <row r="2003" spans="2:2" x14ac:dyDescent="0.3">
      <c r="B2003"/>
    </row>
    <row r="2004" spans="2:2" x14ac:dyDescent="0.3">
      <c r="B2004"/>
    </row>
    <row r="2005" spans="2:2" x14ac:dyDescent="0.3">
      <c r="B2005"/>
    </row>
    <row r="2006" spans="2:2" x14ac:dyDescent="0.3">
      <c r="B2006"/>
    </row>
    <row r="2007" spans="2:2" x14ac:dyDescent="0.3">
      <c r="B2007"/>
    </row>
    <row r="2008" spans="2:2" x14ac:dyDescent="0.3">
      <c r="B2008"/>
    </row>
    <row r="2009" spans="2:2" x14ac:dyDescent="0.3">
      <c r="B2009"/>
    </row>
    <row r="2010" spans="2:2" x14ac:dyDescent="0.3">
      <c r="B2010"/>
    </row>
    <row r="2011" spans="2:2" x14ac:dyDescent="0.3">
      <c r="B2011"/>
    </row>
    <row r="2012" spans="2:2" x14ac:dyDescent="0.3">
      <c r="B2012"/>
    </row>
    <row r="2013" spans="2:2" x14ac:dyDescent="0.3">
      <c r="B2013"/>
    </row>
    <row r="2014" spans="2:2" x14ac:dyDescent="0.3">
      <c r="B2014"/>
    </row>
    <row r="2015" spans="2:2" x14ac:dyDescent="0.3">
      <c r="B2015"/>
    </row>
    <row r="2016" spans="2:2" x14ac:dyDescent="0.3">
      <c r="B2016"/>
    </row>
    <row r="2017" spans="2:2" x14ac:dyDescent="0.3">
      <c r="B2017"/>
    </row>
    <row r="2018" spans="2:2" x14ac:dyDescent="0.3">
      <c r="B2018"/>
    </row>
    <row r="2019" spans="2:2" x14ac:dyDescent="0.3">
      <c r="B2019"/>
    </row>
    <row r="2020" spans="2:2" x14ac:dyDescent="0.3">
      <c r="B2020"/>
    </row>
    <row r="2021" spans="2:2" x14ac:dyDescent="0.3">
      <c r="B2021"/>
    </row>
    <row r="2022" spans="2:2" x14ac:dyDescent="0.3">
      <c r="B2022"/>
    </row>
    <row r="2023" spans="2:2" x14ac:dyDescent="0.3">
      <c r="B2023"/>
    </row>
    <row r="2024" spans="2:2" x14ac:dyDescent="0.3">
      <c r="B2024"/>
    </row>
    <row r="2025" spans="2:2" x14ac:dyDescent="0.3">
      <c r="B2025"/>
    </row>
    <row r="2026" spans="2:2" x14ac:dyDescent="0.3">
      <c r="B2026"/>
    </row>
    <row r="2027" spans="2:2" x14ac:dyDescent="0.3">
      <c r="B2027"/>
    </row>
    <row r="2028" spans="2:2" x14ac:dyDescent="0.3">
      <c r="B2028"/>
    </row>
    <row r="2029" spans="2:2" x14ac:dyDescent="0.3">
      <c r="B2029"/>
    </row>
    <row r="2030" spans="2:2" x14ac:dyDescent="0.3">
      <c r="B2030"/>
    </row>
    <row r="2031" spans="2:2" x14ac:dyDescent="0.3">
      <c r="B2031"/>
    </row>
    <row r="2032" spans="2:2" x14ac:dyDescent="0.3">
      <c r="B2032"/>
    </row>
    <row r="2033" spans="2:2" x14ac:dyDescent="0.3">
      <c r="B2033"/>
    </row>
    <row r="2034" spans="2:2" x14ac:dyDescent="0.3">
      <c r="B2034"/>
    </row>
    <row r="2035" spans="2:2" x14ac:dyDescent="0.3">
      <c r="B2035"/>
    </row>
    <row r="2036" spans="2:2" x14ac:dyDescent="0.3">
      <c r="B2036"/>
    </row>
    <row r="2037" spans="2:2" x14ac:dyDescent="0.3">
      <c r="B2037"/>
    </row>
    <row r="2038" spans="2:2" x14ac:dyDescent="0.3">
      <c r="B2038"/>
    </row>
    <row r="2039" spans="2:2" x14ac:dyDescent="0.3">
      <c r="B2039"/>
    </row>
    <row r="2040" spans="2:2" x14ac:dyDescent="0.3">
      <c r="B2040"/>
    </row>
    <row r="2041" spans="2:2" x14ac:dyDescent="0.3">
      <c r="B2041"/>
    </row>
    <row r="2042" spans="2:2" x14ac:dyDescent="0.3">
      <c r="B2042"/>
    </row>
    <row r="2043" spans="2:2" x14ac:dyDescent="0.3">
      <c r="B2043"/>
    </row>
    <row r="2044" spans="2:2" x14ac:dyDescent="0.3">
      <c r="B2044"/>
    </row>
    <row r="2045" spans="2:2" x14ac:dyDescent="0.3">
      <c r="B2045"/>
    </row>
    <row r="2046" spans="2:2" x14ac:dyDescent="0.3">
      <c r="B2046"/>
    </row>
    <row r="2047" spans="2:2" x14ac:dyDescent="0.3">
      <c r="B2047"/>
    </row>
    <row r="2048" spans="2:2" x14ac:dyDescent="0.3">
      <c r="B2048"/>
    </row>
    <row r="2049" spans="2:2" x14ac:dyDescent="0.3">
      <c r="B2049"/>
    </row>
    <row r="2050" spans="2:2" x14ac:dyDescent="0.3">
      <c r="B2050"/>
    </row>
    <row r="2051" spans="2:2" x14ac:dyDescent="0.3">
      <c r="B2051"/>
    </row>
    <row r="2052" spans="2:2" x14ac:dyDescent="0.3">
      <c r="B2052"/>
    </row>
    <row r="2053" spans="2:2" x14ac:dyDescent="0.3">
      <c r="B2053"/>
    </row>
    <row r="2054" spans="2:2" x14ac:dyDescent="0.3">
      <c r="B2054"/>
    </row>
    <row r="2055" spans="2:2" x14ac:dyDescent="0.3">
      <c r="B2055"/>
    </row>
    <row r="2056" spans="2:2" x14ac:dyDescent="0.3">
      <c r="B2056"/>
    </row>
    <row r="2057" spans="2:2" x14ac:dyDescent="0.3">
      <c r="B2057"/>
    </row>
    <row r="2058" spans="2:2" x14ac:dyDescent="0.3">
      <c r="B2058"/>
    </row>
    <row r="2059" spans="2:2" x14ac:dyDescent="0.3">
      <c r="B2059"/>
    </row>
    <row r="2060" spans="2:2" x14ac:dyDescent="0.3">
      <c r="B2060"/>
    </row>
    <row r="2061" spans="2:2" x14ac:dyDescent="0.3">
      <c r="B2061"/>
    </row>
    <row r="2062" spans="2:2" x14ac:dyDescent="0.3">
      <c r="B2062"/>
    </row>
    <row r="2063" spans="2:2" x14ac:dyDescent="0.3">
      <c r="B2063"/>
    </row>
    <row r="2064" spans="2:2" x14ac:dyDescent="0.3">
      <c r="B2064"/>
    </row>
    <row r="2065" spans="2:2" x14ac:dyDescent="0.3">
      <c r="B2065"/>
    </row>
    <row r="2066" spans="2:2" x14ac:dyDescent="0.3">
      <c r="B2066"/>
    </row>
    <row r="2067" spans="2:2" x14ac:dyDescent="0.3">
      <c r="B2067"/>
    </row>
    <row r="2068" spans="2:2" x14ac:dyDescent="0.3">
      <c r="B2068"/>
    </row>
    <row r="2069" spans="2:2" x14ac:dyDescent="0.3">
      <c r="B2069"/>
    </row>
    <row r="2070" spans="2:2" x14ac:dyDescent="0.3">
      <c r="B2070"/>
    </row>
  </sheetData>
  <mergeCells count="20">
    <mergeCell ref="F376:G376"/>
    <mergeCell ref="F352:G352"/>
    <mergeCell ref="F358:G358"/>
    <mergeCell ref="B352:C352"/>
    <mergeCell ref="B361:C361"/>
    <mergeCell ref="B358:C358"/>
    <mergeCell ref="B366:C366"/>
    <mergeCell ref="B375:C375"/>
    <mergeCell ref="B380:C380"/>
    <mergeCell ref="B191:B248"/>
    <mergeCell ref="B249:B269"/>
    <mergeCell ref="B271:B316"/>
    <mergeCell ref="B317:B328"/>
    <mergeCell ref="B329:B350"/>
    <mergeCell ref="B151:B190"/>
    <mergeCell ref="B8:B44"/>
    <mergeCell ref="B45:B75"/>
    <mergeCell ref="B76:B100"/>
    <mergeCell ref="B101:B131"/>
    <mergeCell ref="B132:B150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K50"/>
  <sheetViews>
    <sheetView zoomScale="115" zoomScaleNormal="115" workbookViewId="0">
      <selection activeCell="E5" sqref="E5"/>
    </sheetView>
  </sheetViews>
  <sheetFormatPr baseColWidth="10" defaultRowHeight="14.4" x14ac:dyDescent="0.3"/>
  <cols>
    <col min="1" max="1" width="16" bestFit="1" customWidth="1"/>
    <col min="2" max="2" width="46" bestFit="1" customWidth="1"/>
    <col min="3" max="3" width="13.21875" bestFit="1" customWidth="1"/>
    <col min="4" max="4" width="11.77734375" bestFit="1" customWidth="1"/>
    <col min="5" max="5" width="16.21875" customWidth="1"/>
    <col min="6" max="6" width="19.44140625" customWidth="1"/>
    <col min="7" max="7" width="15.21875" customWidth="1"/>
    <col min="8" max="8" width="22.21875" bestFit="1" customWidth="1"/>
    <col min="9" max="9" width="21.77734375" customWidth="1"/>
    <col min="10" max="10" width="17.77734375" customWidth="1"/>
    <col min="11" max="11" width="15.21875" customWidth="1"/>
  </cols>
  <sheetData>
    <row r="1" spans="1:11" ht="15" thickBot="1" x14ac:dyDescent="0.35">
      <c r="B1" s="37"/>
      <c r="C1" s="50">
        <v>45166</v>
      </c>
      <c r="D1" s="51"/>
      <c r="E1" s="52" t="str">
        <f>'USD, UF de Hoy'!C4</f>
        <v>975,82</v>
      </c>
      <c r="F1" s="53" t="s">
        <v>149</v>
      </c>
      <c r="G1" s="54" t="str">
        <f>'USD, UF de Hoy'!C2</f>
        <v>38.929,19</v>
      </c>
      <c r="H1" s="55"/>
      <c r="I1" s="55"/>
      <c r="J1" s="55"/>
      <c r="K1" s="56"/>
    </row>
    <row r="2" spans="1:11" ht="16.2" thickBot="1" x14ac:dyDescent="0.35">
      <c r="A2" s="133"/>
      <c r="B2" s="57"/>
      <c r="C2" s="57"/>
      <c r="D2" s="58"/>
      <c r="E2" s="218">
        <v>3685</v>
      </c>
      <c r="F2" s="57">
        <f>E2/4</f>
        <v>921.25</v>
      </c>
      <c r="G2" s="57"/>
      <c r="H2" s="57"/>
      <c r="I2" s="57"/>
      <c r="J2" s="57"/>
      <c r="K2" s="59"/>
    </row>
    <row r="3" spans="1:11" ht="15" thickBot="1" x14ac:dyDescent="0.35">
      <c r="B3" s="299" t="s">
        <v>219</v>
      </c>
      <c r="C3" s="300" t="s">
        <v>2</v>
      </c>
      <c r="D3" s="301" t="s">
        <v>220</v>
      </c>
      <c r="E3" s="300" t="s">
        <v>221</v>
      </c>
      <c r="F3" s="302" t="s">
        <v>276</v>
      </c>
      <c r="G3" s="57"/>
      <c r="H3" s="303" t="s">
        <v>219</v>
      </c>
      <c r="I3" s="304" t="s">
        <v>2</v>
      </c>
      <c r="J3" s="304" t="s">
        <v>149</v>
      </c>
      <c r="K3" s="305" t="s">
        <v>150</v>
      </c>
    </row>
    <row r="4" spans="1:11" ht="15" thickBot="1" x14ac:dyDescent="0.35">
      <c r="B4" s="124" t="s">
        <v>1289</v>
      </c>
      <c r="C4" s="125">
        <v>1</v>
      </c>
      <c r="D4" s="64">
        <v>0</v>
      </c>
      <c r="E4" s="64">
        <f>[1]Fiscalia!$H$20</f>
        <v>0</v>
      </c>
      <c r="F4" s="60">
        <f>SUM((D4*$E$1)+(E4))*C4</f>
        <v>0</v>
      </c>
      <c r="G4" s="61"/>
      <c r="H4" s="126" t="s">
        <v>291</v>
      </c>
      <c r="I4" s="121"/>
      <c r="J4" s="121">
        <v>2</v>
      </c>
      <c r="K4" s="127">
        <f>SUM(I4*J4)*$G$1</f>
        <v>0</v>
      </c>
    </row>
    <row r="5" spans="1:11" ht="15" thickBot="1" x14ac:dyDescent="0.35">
      <c r="B5" s="124" t="s">
        <v>1290</v>
      </c>
      <c r="C5" s="119">
        <v>1</v>
      </c>
      <c r="D5" s="64">
        <v>0</v>
      </c>
      <c r="E5" s="64">
        <v>27000</v>
      </c>
      <c r="F5" s="60">
        <f t="shared" ref="F5:F22" si="0">SUM((D5*$E$1)+(E5))*C5</f>
        <v>27000</v>
      </c>
      <c r="G5" s="61"/>
      <c r="H5" s="122" t="s">
        <v>292</v>
      </c>
      <c r="I5" s="119"/>
      <c r="J5" s="119">
        <v>1</v>
      </c>
      <c r="K5" s="127">
        <f t="shared" ref="K5:K22" si="1">SUM(I5*J5)*$G$1</f>
        <v>0</v>
      </c>
    </row>
    <row r="6" spans="1:11" ht="15" thickBot="1" x14ac:dyDescent="0.35">
      <c r="B6" s="310" t="s">
        <v>1291</v>
      </c>
      <c r="C6" s="119">
        <v>1</v>
      </c>
      <c r="D6" s="64">
        <v>0</v>
      </c>
      <c r="E6" s="64">
        <v>70000</v>
      </c>
      <c r="F6" s="60">
        <f t="shared" si="0"/>
        <v>70000</v>
      </c>
      <c r="G6" s="61"/>
      <c r="H6" s="122" t="s">
        <v>305</v>
      </c>
      <c r="I6" s="119">
        <v>1</v>
      </c>
      <c r="J6" s="119">
        <v>5</v>
      </c>
      <c r="K6" s="127">
        <f t="shared" si="1"/>
        <v>194645.95</v>
      </c>
    </row>
    <row r="7" spans="1:11" ht="15" thickBot="1" x14ac:dyDescent="0.35">
      <c r="B7" s="66"/>
      <c r="C7" s="119"/>
      <c r="D7" s="64">
        <v>0</v>
      </c>
      <c r="E7" s="64">
        <v>150000</v>
      </c>
      <c r="F7" s="60">
        <f t="shared" si="0"/>
        <v>0</v>
      </c>
      <c r="G7" s="61"/>
      <c r="H7" s="122" t="s">
        <v>308</v>
      </c>
      <c r="I7" s="119"/>
      <c r="J7" s="119">
        <v>1</v>
      </c>
      <c r="K7" s="127">
        <f t="shared" si="1"/>
        <v>0</v>
      </c>
    </row>
    <row r="8" spans="1:11" ht="15" thickBot="1" x14ac:dyDescent="0.35">
      <c r="B8" s="122"/>
      <c r="C8" s="119"/>
      <c r="D8" s="64">
        <v>0</v>
      </c>
      <c r="E8" s="64">
        <v>80000</v>
      </c>
      <c r="F8" s="60">
        <f t="shared" si="0"/>
        <v>0</v>
      </c>
      <c r="G8" s="61">
        <f>F8/E1</f>
        <v>0</v>
      </c>
      <c r="H8" s="66" t="s">
        <v>347</v>
      </c>
      <c r="I8" s="63"/>
      <c r="J8" s="63">
        <v>3</v>
      </c>
      <c r="K8" s="127">
        <f t="shared" si="1"/>
        <v>0</v>
      </c>
    </row>
    <row r="9" spans="1:11" ht="15" thickBot="1" x14ac:dyDescent="0.35">
      <c r="B9" s="38"/>
      <c r="C9" s="119"/>
      <c r="D9" s="64">
        <v>0</v>
      </c>
      <c r="E9" s="64">
        <v>2200</v>
      </c>
      <c r="F9" s="60">
        <f t="shared" si="0"/>
        <v>0</v>
      </c>
      <c r="G9" s="61"/>
      <c r="H9" s="66" t="s">
        <v>343</v>
      </c>
      <c r="I9" s="63"/>
      <c r="J9" s="63">
        <v>1</v>
      </c>
      <c r="K9" s="127">
        <f t="shared" si="1"/>
        <v>0</v>
      </c>
    </row>
    <row r="10" spans="1:11" ht="15" thickBot="1" x14ac:dyDescent="0.35">
      <c r="B10" s="123"/>
      <c r="C10" s="63"/>
      <c r="D10" s="64">
        <v>0</v>
      </c>
      <c r="E10" s="64">
        <v>500</v>
      </c>
      <c r="F10" s="60">
        <f t="shared" si="0"/>
        <v>0</v>
      </c>
      <c r="G10" s="61"/>
      <c r="H10" s="66" t="s">
        <v>344</v>
      </c>
      <c r="I10" s="63"/>
      <c r="J10" s="63">
        <v>1</v>
      </c>
      <c r="K10" s="127">
        <f t="shared" si="1"/>
        <v>0</v>
      </c>
    </row>
    <row r="11" spans="1:11" ht="15" thickBot="1" x14ac:dyDescent="0.35">
      <c r="B11" s="66"/>
      <c r="C11" s="63"/>
      <c r="D11" s="64">
        <v>0</v>
      </c>
      <c r="E11" s="64">
        <v>13000</v>
      </c>
      <c r="F11" s="60">
        <f t="shared" si="0"/>
        <v>0</v>
      </c>
      <c r="G11" s="61"/>
      <c r="H11" s="66" t="s">
        <v>1271</v>
      </c>
      <c r="I11" s="63"/>
      <c r="J11" s="63">
        <v>10</v>
      </c>
      <c r="K11" s="127">
        <f t="shared" si="1"/>
        <v>0</v>
      </c>
    </row>
    <row r="12" spans="1:11" ht="15" thickBot="1" x14ac:dyDescent="0.35">
      <c r="B12" s="66"/>
      <c r="C12" s="63"/>
      <c r="D12" s="64">
        <v>0</v>
      </c>
      <c r="E12" s="64">
        <v>112000</v>
      </c>
      <c r="F12" s="60">
        <f t="shared" si="0"/>
        <v>0</v>
      </c>
      <c r="G12" s="61"/>
      <c r="H12" s="66"/>
      <c r="I12" s="63"/>
      <c r="J12" s="63">
        <v>0</v>
      </c>
      <c r="K12" s="127">
        <f t="shared" si="1"/>
        <v>0</v>
      </c>
    </row>
    <row r="13" spans="1:11" ht="15" thickBot="1" x14ac:dyDescent="0.35">
      <c r="B13" s="66"/>
      <c r="C13" s="63"/>
      <c r="D13" s="64">
        <v>0</v>
      </c>
      <c r="E13" s="64">
        <v>900000</v>
      </c>
      <c r="F13" s="60">
        <f t="shared" si="0"/>
        <v>0</v>
      </c>
      <c r="G13" s="61"/>
      <c r="H13" s="67"/>
      <c r="I13" s="68"/>
      <c r="J13" s="68"/>
      <c r="K13" s="127">
        <f t="shared" si="1"/>
        <v>0</v>
      </c>
    </row>
    <row r="14" spans="1:11" ht="15" thickBot="1" x14ac:dyDescent="0.35">
      <c r="B14" s="66"/>
      <c r="C14" s="63"/>
      <c r="D14" s="64">
        <v>0</v>
      </c>
      <c r="E14" s="64">
        <v>90000</v>
      </c>
      <c r="F14" s="60">
        <f t="shared" si="0"/>
        <v>0</v>
      </c>
      <c r="G14" s="61"/>
      <c r="H14" s="67"/>
      <c r="I14" s="68"/>
      <c r="J14" s="68"/>
      <c r="K14" s="127">
        <f t="shared" si="1"/>
        <v>0</v>
      </c>
    </row>
    <row r="15" spans="1:11" ht="15" thickBot="1" x14ac:dyDescent="0.35">
      <c r="B15" s="38"/>
      <c r="C15" s="63"/>
      <c r="D15" s="64">
        <v>0</v>
      </c>
      <c r="E15" s="64">
        <v>90000</v>
      </c>
      <c r="F15" s="60">
        <f t="shared" si="0"/>
        <v>0</v>
      </c>
      <c r="G15" s="61"/>
      <c r="H15" s="66"/>
      <c r="I15" s="63"/>
      <c r="J15" s="63"/>
      <c r="K15" s="127">
        <f t="shared" si="1"/>
        <v>0</v>
      </c>
    </row>
    <row r="16" spans="1:11" ht="15" thickBot="1" x14ac:dyDescent="0.35">
      <c r="B16" s="38"/>
      <c r="C16" s="63"/>
      <c r="D16" s="64">
        <v>0</v>
      </c>
      <c r="E16" s="64">
        <v>90000</v>
      </c>
      <c r="F16" s="60">
        <f t="shared" si="0"/>
        <v>0</v>
      </c>
      <c r="G16" s="57"/>
      <c r="H16" s="66"/>
      <c r="I16" s="63"/>
      <c r="J16" s="63"/>
      <c r="K16" s="127">
        <f t="shared" si="1"/>
        <v>0</v>
      </c>
    </row>
    <row r="17" spans="2:11" ht="15" thickBot="1" x14ac:dyDescent="0.35">
      <c r="B17" s="66"/>
      <c r="C17" s="63"/>
      <c r="D17" s="64">
        <v>0</v>
      </c>
      <c r="E17" s="64">
        <v>360000</v>
      </c>
      <c r="F17" s="60">
        <f t="shared" si="0"/>
        <v>0</v>
      </c>
      <c r="G17" s="57"/>
      <c r="H17" s="66"/>
      <c r="I17" s="63"/>
      <c r="J17" s="63"/>
      <c r="K17" s="127">
        <f t="shared" si="1"/>
        <v>0</v>
      </c>
    </row>
    <row r="18" spans="2:11" ht="15" thickBot="1" x14ac:dyDescent="0.35">
      <c r="B18" s="66"/>
      <c r="C18" s="63"/>
      <c r="D18" s="64">
        <v>0</v>
      </c>
      <c r="E18" s="64">
        <v>439000</v>
      </c>
      <c r="F18" s="60">
        <f t="shared" si="0"/>
        <v>0</v>
      </c>
      <c r="G18" s="57"/>
      <c r="H18" s="66"/>
      <c r="I18" s="63"/>
      <c r="J18" s="63"/>
      <c r="K18" s="127">
        <f t="shared" si="1"/>
        <v>0</v>
      </c>
    </row>
    <row r="19" spans="2:11" ht="15" thickBot="1" x14ac:dyDescent="0.35">
      <c r="B19" s="66"/>
      <c r="C19" s="63"/>
      <c r="D19" s="64">
        <v>0</v>
      </c>
      <c r="E19" s="64">
        <f t="shared" ref="E19:E22" si="2">SUM(D19*E$1)</f>
        <v>0</v>
      </c>
      <c r="F19" s="60">
        <f t="shared" si="0"/>
        <v>0</v>
      </c>
      <c r="G19" s="57"/>
      <c r="H19" s="66"/>
      <c r="I19" s="63"/>
      <c r="J19" s="63"/>
      <c r="K19" s="127">
        <f t="shared" si="1"/>
        <v>0</v>
      </c>
    </row>
    <row r="20" spans="2:11" ht="15" thickBot="1" x14ac:dyDescent="0.35">
      <c r="B20" s="66"/>
      <c r="C20" s="63"/>
      <c r="D20" s="64">
        <v>0</v>
      </c>
      <c r="E20" s="64">
        <f t="shared" si="2"/>
        <v>0</v>
      </c>
      <c r="F20" s="60">
        <f t="shared" si="0"/>
        <v>0</v>
      </c>
      <c r="G20" s="57"/>
      <c r="H20" s="66"/>
      <c r="I20" s="63"/>
      <c r="J20" s="63"/>
      <c r="K20" s="127">
        <f t="shared" si="1"/>
        <v>0</v>
      </c>
    </row>
    <row r="21" spans="2:11" ht="15" thickBot="1" x14ac:dyDescent="0.35">
      <c r="B21" s="66"/>
      <c r="C21" s="63"/>
      <c r="D21" s="64">
        <v>0</v>
      </c>
      <c r="E21" s="64">
        <f t="shared" si="2"/>
        <v>0</v>
      </c>
      <c r="F21" s="60">
        <f t="shared" si="0"/>
        <v>0</v>
      </c>
      <c r="G21" s="57"/>
      <c r="H21" s="66"/>
      <c r="I21" s="63"/>
      <c r="J21" s="63"/>
      <c r="K21" s="127">
        <f t="shared" si="1"/>
        <v>0</v>
      </c>
    </row>
    <row r="22" spans="2:11" ht="15" thickBot="1" x14ac:dyDescent="0.35">
      <c r="B22" s="69"/>
      <c r="C22" s="70"/>
      <c r="D22" s="71">
        <v>0</v>
      </c>
      <c r="E22" s="71">
        <f t="shared" si="2"/>
        <v>0</v>
      </c>
      <c r="F22" s="60">
        <f t="shared" si="0"/>
        <v>0</v>
      </c>
      <c r="G22" s="57"/>
      <c r="H22" s="72"/>
      <c r="I22" s="73"/>
      <c r="J22" s="73"/>
      <c r="K22" s="127">
        <f t="shared" si="1"/>
        <v>0</v>
      </c>
    </row>
    <row r="23" spans="2:11" x14ac:dyDescent="0.3">
      <c r="B23" s="57"/>
      <c r="C23" s="57"/>
      <c r="D23" s="58"/>
      <c r="E23" s="120" t="s">
        <v>279</v>
      </c>
      <c r="F23" s="60">
        <f>SUM(F4:F22)</f>
        <v>97000</v>
      </c>
      <c r="G23" s="58"/>
      <c r="H23" s="57"/>
      <c r="I23" s="57"/>
      <c r="J23" s="62" t="s">
        <v>279</v>
      </c>
      <c r="K23" s="74">
        <f>SUM(K4:K22)</f>
        <v>194645.95</v>
      </c>
    </row>
    <row r="24" spans="2:11" x14ac:dyDescent="0.3">
      <c r="B24" s="57"/>
      <c r="C24" s="57"/>
      <c r="D24" s="58"/>
      <c r="E24" s="75" t="s">
        <v>278</v>
      </c>
      <c r="F24" s="76">
        <v>0.25</v>
      </c>
      <c r="G24" s="77"/>
      <c r="H24" s="57"/>
      <c r="I24" s="78"/>
      <c r="J24" s="66" t="s">
        <v>281</v>
      </c>
      <c r="K24" s="65">
        <f>K23*0.246</f>
        <v>47882.903700000003</v>
      </c>
    </row>
    <row r="25" spans="2:11" ht="15" thickBot="1" x14ac:dyDescent="0.35">
      <c r="B25" s="57"/>
      <c r="C25" s="57"/>
      <c r="D25" s="58"/>
      <c r="E25" s="66" t="s">
        <v>280</v>
      </c>
      <c r="F25" s="65">
        <f>SUM(F23*F24)</f>
        <v>24250</v>
      </c>
      <c r="G25" s="58"/>
      <c r="H25" s="57"/>
      <c r="I25" s="57"/>
      <c r="J25" s="69" t="s">
        <v>282</v>
      </c>
      <c r="K25" s="79">
        <f>SUM(K23:K24)</f>
        <v>242528.85370000001</v>
      </c>
    </row>
    <row r="26" spans="2:11" ht="15" thickBot="1" x14ac:dyDescent="0.35">
      <c r="B26" s="57"/>
      <c r="C26" s="57"/>
      <c r="D26" s="58"/>
      <c r="E26" s="69" t="s">
        <v>277</v>
      </c>
      <c r="F26" s="80">
        <f>SUM(F23+F25)</f>
        <v>121250</v>
      </c>
      <c r="G26" s="81"/>
      <c r="H26" s="81"/>
      <c r="I26" s="81"/>
      <c r="J26" s="81"/>
      <c r="K26" s="81"/>
    </row>
    <row r="27" spans="2:11" ht="15" thickBot="1" x14ac:dyDescent="0.35">
      <c r="B27" s="57"/>
      <c r="C27" s="57"/>
      <c r="D27" s="58"/>
      <c r="E27" s="57"/>
      <c r="F27" s="82"/>
      <c r="G27" s="81"/>
      <c r="H27" s="81"/>
      <c r="I27" s="81"/>
      <c r="J27" s="81"/>
      <c r="K27" s="81"/>
    </row>
    <row r="28" spans="2:11" ht="15" thickBot="1" x14ac:dyDescent="0.35">
      <c r="B28" s="325" t="s">
        <v>287</v>
      </c>
      <c r="C28" s="326"/>
      <c r="D28" s="58"/>
    </row>
    <row r="29" spans="2:11" ht="15" thickBot="1" x14ac:dyDescent="0.35">
      <c r="B29" s="85" t="s">
        <v>283</v>
      </c>
      <c r="C29" s="86">
        <f>F26</f>
        <v>121250</v>
      </c>
      <c r="D29" s="49"/>
      <c r="F29" s="46"/>
      <c r="I29" s="46"/>
    </row>
    <row r="30" spans="2:11" ht="15" thickBot="1" x14ac:dyDescent="0.35">
      <c r="B30" s="87" t="s">
        <v>284</v>
      </c>
      <c r="C30" s="88">
        <f>SUM(K25)</f>
        <v>242528.85370000001</v>
      </c>
      <c r="D30" s="82"/>
      <c r="E30" s="327" t="s">
        <v>1094</v>
      </c>
      <c r="F30" s="328"/>
      <c r="I30" s="46"/>
      <c r="J30" s="46"/>
      <c r="K30" s="130"/>
    </row>
    <row r="31" spans="2:11" ht="15" thickBot="1" x14ac:dyDescent="0.35">
      <c r="B31" s="87" t="s">
        <v>285</v>
      </c>
      <c r="C31" s="88">
        <f>CC_COSTO_INFRA_!G382</f>
        <v>0</v>
      </c>
      <c r="D31" s="83"/>
      <c r="E31" s="236" t="s">
        <v>1090</v>
      </c>
      <c r="F31" s="237">
        <f>(C34-F32)</f>
        <v>274289.25568980002</v>
      </c>
      <c r="I31" s="46"/>
      <c r="J31" s="46"/>
    </row>
    <row r="32" spans="2:11" ht="15" thickBot="1" x14ac:dyDescent="0.35">
      <c r="B32" s="87"/>
      <c r="C32" s="88">
        <f>H50</f>
        <v>0</v>
      </c>
      <c r="D32" s="83"/>
      <c r="E32" s="72" t="s">
        <v>323</v>
      </c>
      <c r="F32" s="237">
        <f>C34*0.246</f>
        <v>89489.598010199988</v>
      </c>
      <c r="I32" s="46"/>
      <c r="J32" s="46"/>
    </row>
    <row r="33" spans="2:11" x14ac:dyDescent="0.3">
      <c r="B33" s="87" t="s">
        <v>267</v>
      </c>
      <c r="C33" s="88">
        <v>0</v>
      </c>
      <c r="D33" s="83"/>
      <c r="F33" s="46"/>
      <c r="I33" s="46"/>
      <c r="J33" s="46"/>
    </row>
    <row r="34" spans="2:11" x14ac:dyDescent="0.3">
      <c r="B34" s="87" t="s">
        <v>272</v>
      </c>
      <c r="C34" s="88">
        <f>SUM(C29:C33)</f>
        <v>363778.85369999998</v>
      </c>
      <c r="D34" s="82"/>
      <c r="F34" s="46"/>
      <c r="I34" s="46"/>
      <c r="J34" s="46"/>
      <c r="K34" s="46"/>
    </row>
    <row r="35" spans="2:11" x14ac:dyDescent="0.3">
      <c r="B35" s="87" t="s">
        <v>222</v>
      </c>
      <c r="C35" s="89">
        <f>SUM(C34/100*19)</f>
        <v>69117.982202999992</v>
      </c>
      <c r="D35" s="82"/>
      <c r="F35" s="46"/>
      <c r="I35" s="46"/>
      <c r="K35" s="131"/>
    </row>
    <row r="36" spans="2:11" ht="15" thickBot="1" x14ac:dyDescent="0.35">
      <c r="B36" s="90" t="s">
        <v>286</v>
      </c>
      <c r="C36" s="91">
        <f>SUM(C34:C35)</f>
        <v>432896.83590299997</v>
      </c>
      <c r="D36" s="46"/>
      <c r="F36" s="46"/>
      <c r="I36" s="46"/>
      <c r="K36" s="131"/>
    </row>
    <row r="37" spans="2:11" x14ac:dyDescent="0.3">
      <c r="C37" s="46"/>
      <c r="F37" s="46"/>
      <c r="I37" s="46"/>
      <c r="J37" s="46"/>
      <c r="K37" s="46"/>
    </row>
    <row r="38" spans="2:11" x14ac:dyDescent="0.3">
      <c r="C38" s="46"/>
      <c r="F38" s="46"/>
      <c r="I38" s="46"/>
      <c r="J38" s="46"/>
      <c r="K38" s="46"/>
    </row>
    <row r="39" spans="2:11" x14ac:dyDescent="0.3">
      <c r="B39" s="46"/>
      <c r="C39" s="46"/>
      <c r="D39" s="46"/>
      <c r="E39" s="46"/>
      <c r="F39" s="46"/>
      <c r="I39" s="46"/>
      <c r="J39" s="46"/>
    </row>
    <row r="40" spans="2:11" x14ac:dyDescent="0.3">
      <c r="I40" s="46"/>
    </row>
    <row r="41" spans="2:11" x14ac:dyDescent="0.3">
      <c r="H41" s="190"/>
    </row>
    <row r="42" spans="2:11" x14ac:dyDescent="0.3">
      <c r="C42" s="190"/>
      <c r="H42" s="279"/>
    </row>
    <row r="43" spans="2:11" x14ac:dyDescent="0.3">
      <c r="C43" s="8"/>
      <c r="H43" s="279"/>
    </row>
    <row r="44" spans="2:11" x14ac:dyDescent="0.3">
      <c r="H44" s="279"/>
    </row>
    <row r="45" spans="2:11" x14ac:dyDescent="0.3">
      <c r="H45" s="279"/>
    </row>
    <row r="46" spans="2:11" x14ac:dyDescent="0.3">
      <c r="H46" s="279"/>
    </row>
    <row r="47" spans="2:11" x14ac:dyDescent="0.3">
      <c r="H47" s="279"/>
    </row>
    <row r="48" spans="2:11" x14ac:dyDescent="0.3">
      <c r="H48" s="279"/>
    </row>
    <row r="49" spans="8:8" x14ac:dyDescent="0.3">
      <c r="H49" s="279"/>
    </row>
    <row r="50" spans="8:8" x14ac:dyDescent="0.3">
      <c r="H50" s="279">
        <f>H49*G1</f>
        <v>0</v>
      </c>
    </row>
  </sheetData>
  <mergeCells count="2">
    <mergeCell ref="B28:C28"/>
    <mergeCell ref="E30:F30"/>
  </mergeCells>
  <hyperlinks>
    <hyperlink ref="B6" r:id="rId1" location="polycard_client=search-nordic&amp;search_layout=stack&amp;position=3&amp;type=item&amp;tracking_id=e0e595c0-4134-4f42-abe9-ff5ae944c5c5&amp;wid=MLC2556034234&amp;sid=search" xr:uid="{00000000-0004-0000-0100-000000000000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C3:P40"/>
  <sheetViews>
    <sheetView topLeftCell="D1" workbookViewId="0">
      <selection activeCell="N24" sqref="N24"/>
    </sheetView>
  </sheetViews>
  <sheetFormatPr baseColWidth="10" defaultRowHeight="14.4" x14ac:dyDescent="0.3"/>
  <cols>
    <col min="6" max="6" width="24.5546875" bestFit="1" customWidth="1"/>
    <col min="9" max="9" width="13.77734375" customWidth="1"/>
    <col min="10" max="10" width="14.44140625" bestFit="1" customWidth="1"/>
    <col min="11" max="11" width="17" bestFit="1" customWidth="1"/>
    <col min="12" max="12" width="21" bestFit="1" customWidth="1"/>
  </cols>
  <sheetData>
    <row r="3" spans="3:16" ht="15" thickBot="1" x14ac:dyDescent="0.35">
      <c r="C3" s="134"/>
    </row>
    <row r="4" spans="3:16" ht="16.2" thickBot="1" x14ac:dyDescent="0.35">
      <c r="C4" s="134"/>
      <c r="D4" s="134"/>
      <c r="E4" s="134"/>
      <c r="F4" s="135">
        <v>826.84169999999995</v>
      </c>
      <c r="G4" s="136" t="s">
        <v>149</v>
      </c>
      <c r="H4" s="137">
        <v>34000</v>
      </c>
      <c r="I4" s="134"/>
      <c r="J4" s="134"/>
      <c r="K4" s="134"/>
      <c r="L4" s="138"/>
      <c r="M4" s="138"/>
      <c r="N4" s="138"/>
      <c r="O4" s="138"/>
      <c r="P4" s="134"/>
    </row>
    <row r="5" spans="3:16" ht="15" thickBot="1" x14ac:dyDescent="0.35">
      <c r="C5" s="134"/>
      <c r="D5" s="134"/>
      <c r="E5" s="134"/>
      <c r="F5" s="134"/>
      <c r="G5" s="134"/>
      <c r="H5" s="134"/>
      <c r="I5" s="139"/>
      <c r="J5" s="134"/>
      <c r="K5" s="134"/>
      <c r="L5" s="134"/>
      <c r="M5" s="134"/>
      <c r="N5" s="134"/>
      <c r="O5" s="134"/>
      <c r="P5" s="134"/>
    </row>
    <row r="6" spans="3:16" ht="15" thickBot="1" x14ac:dyDescent="0.35">
      <c r="C6" s="134"/>
      <c r="D6" s="134"/>
      <c r="E6" s="134"/>
      <c r="F6" s="330" t="s">
        <v>297</v>
      </c>
      <c r="G6" s="331"/>
      <c r="H6" s="331"/>
      <c r="I6" s="331"/>
      <c r="J6" s="332"/>
      <c r="K6" s="134"/>
      <c r="L6" s="330" t="s">
        <v>298</v>
      </c>
      <c r="M6" s="331"/>
      <c r="N6" s="331"/>
      <c r="O6" s="332"/>
      <c r="P6" s="134"/>
    </row>
    <row r="7" spans="3:16" ht="15" thickBot="1" x14ac:dyDescent="0.35">
      <c r="C7" s="134"/>
      <c r="D7" s="134"/>
      <c r="E7" s="134"/>
      <c r="F7" s="141" t="s">
        <v>219</v>
      </c>
      <c r="G7" s="142" t="s">
        <v>2</v>
      </c>
      <c r="H7" s="143" t="s">
        <v>299</v>
      </c>
      <c r="I7" s="142" t="s">
        <v>300</v>
      </c>
      <c r="J7" s="144" t="s">
        <v>301</v>
      </c>
      <c r="K7" s="145"/>
      <c r="L7" s="141" t="s">
        <v>219</v>
      </c>
      <c r="M7" s="142" t="s">
        <v>2</v>
      </c>
      <c r="N7" s="142" t="s">
        <v>149</v>
      </c>
      <c r="O7" s="146" t="s">
        <v>150</v>
      </c>
      <c r="P7" s="134"/>
    </row>
    <row r="8" spans="3:16" x14ac:dyDescent="0.3">
      <c r="C8" s="134"/>
      <c r="D8" s="134"/>
      <c r="E8" s="134"/>
      <c r="F8" s="147" t="s">
        <v>302</v>
      </c>
      <c r="G8" s="148"/>
      <c r="H8" s="149">
        <v>1</v>
      </c>
      <c r="I8" s="150">
        <f>H8*H4</f>
        <v>34000</v>
      </c>
      <c r="J8" s="151">
        <f>I8*G8</f>
        <v>0</v>
      </c>
      <c r="K8" s="152"/>
      <c r="L8" s="145"/>
      <c r="M8" s="139"/>
      <c r="N8" s="139"/>
      <c r="O8" s="153"/>
      <c r="P8" s="134"/>
    </row>
    <row r="9" spans="3:16" x14ac:dyDescent="0.3">
      <c r="C9" s="134"/>
      <c r="D9" s="134"/>
      <c r="E9" s="134"/>
      <c r="F9" s="147" t="s">
        <v>303</v>
      </c>
      <c r="G9" s="148"/>
      <c r="H9" s="149">
        <v>1</v>
      </c>
      <c r="I9" s="150">
        <v>34000</v>
      </c>
      <c r="J9" s="151">
        <f>G9*I9</f>
        <v>0</v>
      </c>
      <c r="K9" s="152"/>
      <c r="L9" s="145"/>
      <c r="M9" s="139"/>
      <c r="N9" s="139"/>
      <c r="O9" s="153"/>
    </row>
    <row r="10" spans="3:16" x14ac:dyDescent="0.3">
      <c r="C10" s="134"/>
      <c r="D10" s="134"/>
      <c r="E10" s="134"/>
      <c r="F10" s="147" t="s">
        <v>304</v>
      </c>
      <c r="G10" s="148"/>
      <c r="H10" s="149">
        <v>0.5</v>
      </c>
      <c r="I10" s="150">
        <v>34000</v>
      </c>
      <c r="J10" s="151">
        <f>I10*G10</f>
        <v>0</v>
      </c>
      <c r="K10" s="152"/>
      <c r="L10" s="147"/>
      <c r="M10" s="148"/>
      <c r="N10" s="139"/>
      <c r="O10" s="153"/>
      <c r="P10" s="134" t="s">
        <v>306</v>
      </c>
    </row>
    <row r="11" spans="3:16" x14ac:dyDescent="0.3">
      <c r="C11" s="134"/>
      <c r="D11" s="134"/>
      <c r="E11" s="134"/>
      <c r="F11" s="147" t="s">
        <v>307</v>
      </c>
      <c r="G11" s="148"/>
      <c r="H11" s="149">
        <v>2</v>
      </c>
      <c r="I11" s="150">
        <f>H11*H4</f>
        <v>68000</v>
      </c>
      <c r="J11" s="151">
        <f>G11*I11</f>
        <v>0</v>
      </c>
      <c r="K11" s="152"/>
      <c r="L11" s="147"/>
      <c r="M11" s="148"/>
      <c r="N11" s="139"/>
      <c r="O11" s="153"/>
      <c r="P11" s="134" t="s">
        <v>309</v>
      </c>
    </row>
    <row r="12" spans="3:16" x14ac:dyDescent="0.3">
      <c r="C12" s="134"/>
      <c r="D12" s="134"/>
      <c r="E12" s="134"/>
      <c r="F12" s="147" t="s">
        <v>310</v>
      </c>
      <c r="G12" s="148"/>
      <c r="H12" s="149">
        <v>1</v>
      </c>
      <c r="I12" s="150">
        <f>H12*H4</f>
        <v>34000</v>
      </c>
      <c r="J12" s="151">
        <f>I12*G12</f>
        <v>0</v>
      </c>
      <c r="K12" s="152"/>
      <c r="L12" s="147"/>
      <c r="M12" s="148"/>
      <c r="N12" s="139"/>
      <c r="O12" s="153"/>
      <c r="P12" s="134" t="s">
        <v>311</v>
      </c>
    </row>
    <row r="13" spans="3:16" x14ac:dyDescent="0.3">
      <c r="C13" s="134"/>
      <c r="D13" s="134"/>
      <c r="E13" s="134"/>
      <c r="F13" s="147" t="s">
        <v>312</v>
      </c>
      <c r="G13" s="148"/>
      <c r="H13" s="149">
        <v>1</v>
      </c>
      <c r="I13" s="150">
        <f>H13*H4</f>
        <v>34000</v>
      </c>
      <c r="J13" s="151">
        <f>I13*G13</f>
        <v>0</v>
      </c>
      <c r="K13" s="152"/>
      <c r="L13" s="147"/>
      <c r="M13" s="148"/>
      <c r="N13" s="139"/>
      <c r="O13" s="153"/>
      <c r="P13" s="134" t="s">
        <v>313</v>
      </c>
    </row>
    <row r="14" spans="3:16" x14ac:dyDescent="0.3">
      <c r="C14" s="134"/>
      <c r="D14" s="134"/>
      <c r="E14" s="134"/>
      <c r="F14" s="147" t="s">
        <v>314</v>
      </c>
      <c r="G14" s="148"/>
      <c r="H14" s="149">
        <v>2.5</v>
      </c>
      <c r="I14" s="150">
        <f>H14*H4</f>
        <v>85000</v>
      </c>
      <c r="J14" s="151">
        <f>I14*G14</f>
        <v>0</v>
      </c>
      <c r="K14" s="139"/>
      <c r="L14" s="145"/>
      <c r="M14" s="139"/>
      <c r="N14" s="139"/>
      <c r="O14" s="153"/>
      <c r="P14" s="134" t="s">
        <v>315</v>
      </c>
    </row>
    <row r="15" spans="3:16" x14ac:dyDescent="0.3">
      <c r="C15" s="134"/>
      <c r="D15" s="134"/>
      <c r="E15" s="134"/>
      <c r="F15" s="145" t="s">
        <v>316</v>
      </c>
      <c r="G15" s="139"/>
      <c r="H15" s="149">
        <v>1.5</v>
      </c>
      <c r="I15" s="150">
        <f>H15*H4</f>
        <v>51000</v>
      </c>
      <c r="J15" s="151">
        <f>I15*G15</f>
        <v>0</v>
      </c>
      <c r="K15" s="139"/>
      <c r="L15" s="145"/>
      <c r="M15" s="139"/>
      <c r="N15" s="139"/>
      <c r="O15" s="153"/>
      <c r="P15" s="134"/>
    </row>
    <row r="16" spans="3:16" x14ac:dyDescent="0.3">
      <c r="C16" s="134"/>
      <c r="D16" s="134"/>
      <c r="E16" s="134"/>
      <c r="F16" s="145"/>
      <c r="G16" s="139"/>
      <c r="H16" s="150"/>
      <c r="I16" s="150"/>
      <c r="J16" s="151"/>
      <c r="K16" s="139"/>
      <c r="L16" s="145"/>
      <c r="M16" s="139"/>
      <c r="N16" s="139"/>
      <c r="O16" s="153"/>
      <c r="P16" s="134"/>
    </row>
    <row r="17" spans="3:16" x14ac:dyDescent="0.3">
      <c r="C17" s="134"/>
      <c r="D17" s="134"/>
      <c r="E17" s="134"/>
      <c r="F17" s="145"/>
      <c r="G17" s="139"/>
      <c r="H17" s="150"/>
      <c r="I17" s="150"/>
      <c r="J17" s="151"/>
      <c r="K17" s="139"/>
      <c r="L17" s="145"/>
      <c r="M17" s="139">
        <v>0</v>
      </c>
      <c r="N17" s="139">
        <v>0</v>
      </c>
      <c r="O17" s="153">
        <v>0</v>
      </c>
      <c r="P17" s="134"/>
    </row>
    <row r="18" spans="3:16" ht="15" thickBot="1" x14ac:dyDescent="0.35">
      <c r="C18" s="134"/>
      <c r="D18" s="134"/>
      <c r="E18" s="134"/>
      <c r="F18" s="145"/>
      <c r="G18" s="139"/>
      <c r="H18" s="150"/>
      <c r="I18" s="150"/>
      <c r="J18" s="151"/>
      <c r="K18" s="139"/>
      <c r="L18" s="154"/>
      <c r="M18" s="155">
        <v>0</v>
      </c>
      <c r="N18" s="155">
        <v>0</v>
      </c>
      <c r="O18" s="156">
        <v>0</v>
      </c>
      <c r="P18" s="134"/>
    </row>
    <row r="19" spans="3:16" ht="15" thickBot="1" x14ac:dyDescent="0.35">
      <c r="C19" s="134"/>
      <c r="D19" s="134"/>
      <c r="E19" s="134"/>
      <c r="F19" s="145"/>
      <c r="G19" s="139"/>
      <c r="H19" s="150"/>
      <c r="I19" s="150"/>
      <c r="J19" s="151"/>
      <c r="K19" s="139"/>
      <c r="L19" s="139"/>
      <c r="M19" s="157" t="s">
        <v>317</v>
      </c>
      <c r="N19" s="138" t="s">
        <v>150</v>
      </c>
      <c r="O19" s="158">
        <f>SUM(O10:O18)</f>
        <v>0</v>
      </c>
      <c r="P19" s="134"/>
    </row>
    <row r="20" spans="3:16" ht="15" thickBot="1" x14ac:dyDescent="0.35">
      <c r="C20" s="134"/>
      <c r="D20" s="134"/>
      <c r="E20" s="134"/>
      <c r="F20" s="154"/>
      <c r="G20" s="155"/>
      <c r="H20" s="159"/>
      <c r="I20" s="150"/>
      <c r="J20" s="151"/>
      <c r="K20" s="139"/>
      <c r="L20" s="139"/>
      <c r="M20" s="160"/>
      <c r="N20" s="161" t="s">
        <v>318</v>
      </c>
      <c r="O20" s="162">
        <v>0</v>
      </c>
      <c r="P20" s="134"/>
    </row>
    <row r="21" spans="3:16" ht="15" thickBot="1" x14ac:dyDescent="0.35">
      <c r="C21" s="134"/>
      <c r="D21" s="134"/>
      <c r="E21" s="134"/>
      <c r="F21" s="163"/>
      <c r="G21" s="163"/>
      <c r="H21" s="164"/>
      <c r="I21" s="161" t="s">
        <v>150</v>
      </c>
      <c r="J21" s="162">
        <f>SUM(J8:J20)</f>
        <v>0</v>
      </c>
      <c r="K21" s="150"/>
      <c r="L21" s="134"/>
      <c r="M21" s="139"/>
      <c r="N21" s="161" t="s">
        <v>5</v>
      </c>
      <c r="O21" s="162">
        <f>SUM(O19:O20)</f>
        <v>0</v>
      </c>
      <c r="P21" s="134"/>
    </row>
    <row r="22" spans="3:16" x14ac:dyDescent="0.3">
      <c r="C22" s="134"/>
      <c r="D22" s="134"/>
      <c r="E22" s="134"/>
      <c r="F22" s="139"/>
      <c r="G22" s="139"/>
      <c r="H22" s="150"/>
      <c r="I22" s="165"/>
      <c r="J22" s="150"/>
      <c r="K22" s="166"/>
      <c r="L22" s="139"/>
      <c r="M22" s="134"/>
      <c r="N22" s="134"/>
      <c r="O22" s="134"/>
      <c r="P22" s="134"/>
    </row>
    <row r="23" spans="3:16" x14ac:dyDescent="0.3">
      <c r="D23" s="134"/>
      <c r="E23" s="134"/>
      <c r="F23" s="139"/>
      <c r="G23" s="139"/>
      <c r="H23" s="150"/>
      <c r="I23" s="139"/>
      <c r="J23" s="150"/>
      <c r="K23" s="150"/>
      <c r="L23" s="167"/>
      <c r="M23" s="167"/>
      <c r="N23" s="167"/>
      <c r="O23" s="167"/>
      <c r="P23" s="134"/>
    </row>
    <row r="24" spans="3:16" ht="15" thickBot="1" x14ac:dyDescent="0.35">
      <c r="D24" s="134"/>
      <c r="E24" s="134"/>
      <c r="F24" s="168"/>
      <c r="G24" s="167"/>
      <c r="H24" s="167"/>
      <c r="I24" s="169"/>
      <c r="J24" s="167"/>
      <c r="K24" s="134"/>
      <c r="L24" s="134"/>
      <c r="M24" s="134"/>
      <c r="N24" s="134"/>
      <c r="O24" s="134"/>
      <c r="P24" s="134"/>
    </row>
    <row r="25" spans="3:16" x14ac:dyDescent="0.3">
      <c r="D25" s="134"/>
      <c r="E25" s="134"/>
      <c r="F25" s="168"/>
      <c r="G25" s="167"/>
      <c r="H25" s="170"/>
      <c r="I25" s="171"/>
      <c r="J25" s="172" t="s">
        <v>319</v>
      </c>
      <c r="K25" s="173">
        <f>J21+O19</f>
        <v>0</v>
      </c>
      <c r="L25" s="134"/>
      <c r="M25" s="134" t="s">
        <v>320</v>
      </c>
      <c r="N25" s="134"/>
      <c r="O25" s="134"/>
      <c r="P25" s="134"/>
    </row>
    <row r="26" spans="3:16" ht="15" thickBot="1" x14ac:dyDescent="0.35">
      <c r="D26" s="134"/>
      <c r="E26" s="134"/>
      <c r="F26" s="134"/>
      <c r="G26" s="134"/>
      <c r="H26" s="333" t="s">
        <v>321</v>
      </c>
      <c r="I26" s="334"/>
      <c r="J26" s="174">
        <v>0.1</v>
      </c>
      <c r="K26" s="175"/>
      <c r="L26" s="134"/>
      <c r="M26" s="134" t="s">
        <v>322</v>
      </c>
      <c r="N26" s="134"/>
      <c r="O26" s="134"/>
      <c r="P26" s="134"/>
    </row>
    <row r="27" spans="3:16" ht="15" thickBot="1" x14ac:dyDescent="0.35">
      <c r="D27" s="134"/>
      <c r="E27" s="134"/>
      <c r="F27" s="134"/>
      <c r="G27" s="134"/>
      <c r="H27" s="176"/>
      <c r="I27" s="177"/>
      <c r="J27" s="140" t="s">
        <v>323</v>
      </c>
      <c r="K27" s="178">
        <f>O20</f>
        <v>0</v>
      </c>
      <c r="L27" s="134"/>
      <c r="M27" s="134" t="s">
        <v>324</v>
      </c>
      <c r="N27" s="134"/>
      <c r="O27" s="134"/>
      <c r="P27" s="134"/>
    </row>
    <row r="28" spans="3:16" ht="15" thickBot="1" x14ac:dyDescent="0.35">
      <c r="D28" s="134"/>
      <c r="E28" s="134"/>
      <c r="F28" s="134"/>
      <c r="G28" s="134"/>
      <c r="H28" s="335" t="s">
        <v>325</v>
      </c>
      <c r="I28" s="336"/>
      <c r="J28" s="179"/>
      <c r="K28" s="180">
        <v>0</v>
      </c>
      <c r="L28" s="134"/>
      <c r="M28" s="134" t="s">
        <v>326</v>
      </c>
      <c r="N28" s="134"/>
      <c r="O28" s="134"/>
      <c r="P28" s="134"/>
    </row>
    <row r="29" spans="3:16" ht="15" thickBot="1" x14ac:dyDescent="0.35">
      <c r="D29" s="134"/>
      <c r="E29" s="134"/>
      <c r="F29" s="134"/>
      <c r="G29" s="134"/>
      <c r="H29" s="134"/>
      <c r="I29" s="134"/>
      <c r="J29" s="134"/>
      <c r="K29" s="134"/>
      <c r="L29" s="134"/>
      <c r="M29" s="134" t="s">
        <v>327</v>
      </c>
      <c r="N29" s="134"/>
      <c r="O29" s="134"/>
      <c r="P29" s="134"/>
    </row>
    <row r="30" spans="3:16" ht="18" thickBot="1" x14ac:dyDescent="0.35">
      <c r="D30" s="134"/>
      <c r="E30" s="134"/>
      <c r="F30" s="134"/>
      <c r="G30" s="134"/>
      <c r="H30" s="181"/>
      <c r="I30" s="337" t="s">
        <v>5</v>
      </c>
      <c r="J30" s="337"/>
      <c r="K30" s="182">
        <f>SUM(K25:K29)</f>
        <v>0</v>
      </c>
      <c r="L30" s="134"/>
      <c r="M30" s="134"/>
      <c r="N30" s="134"/>
      <c r="O30" s="134"/>
      <c r="P30" s="134"/>
    </row>
    <row r="31" spans="3:16" x14ac:dyDescent="0.3">
      <c r="D31" s="134"/>
      <c r="E31" s="134"/>
      <c r="F31" s="134"/>
      <c r="G31" s="134"/>
      <c r="H31" s="338"/>
      <c r="I31" s="338"/>
      <c r="J31" s="183"/>
      <c r="K31" s="184"/>
      <c r="L31" s="185"/>
      <c r="M31" s="186"/>
      <c r="N31" s="134"/>
      <c r="O31" s="134"/>
      <c r="P31" s="134"/>
    </row>
    <row r="32" spans="3:16" x14ac:dyDescent="0.3">
      <c r="D32" s="134"/>
      <c r="E32" s="134"/>
      <c r="F32" s="134"/>
      <c r="G32" s="134"/>
      <c r="H32" s="134"/>
      <c r="I32" s="329"/>
      <c r="J32" s="329"/>
      <c r="K32" s="185"/>
      <c r="L32" s="134"/>
      <c r="M32" s="134"/>
      <c r="N32" s="134"/>
      <c r="O32" s="134"/>
      <c r="P32" s="134"/>
    </row>
    <row r="33" spans="4:16" x14ac:dyDescent="0.3">
      <c r="D33" s="134"/>
      <c r="E33" s="134"/>
      <c r="F33" s="134"/>
      <c r="G33" s="134"/>
      <c r="H33" s="134"/>
      <c r="I33" s="134"/>
      <c r="J33" s="134"/>
      <c r="K33" s="185"/>
      <c r="L33" s="134"/>
      <c r="M33" s="134"/>
      <c r="N33" s="134"/>
      <c r="O33" s="134"/>
      <c r="P33" s="134"/>
    </row>
    <row r="34" spans="4:16" x14ac:dyDescent="0.3">
      <c r="J34" s="134"/>
      <c r="K34" s="46"/>
    </row>
    <row r="35" spans="4:16" x14ac:dyDescent="0.3">
      <c r="K35" s="187"/>
    </row>
    <row r="40" spans="4:16" x14ac:dyDescent="0.3">
      <c r="J40" s="188"/>
      <c r="K40" s="189"/>
    </row>
  </sheetData>
  <mergeCells count="7">
    <mergeCell ref="I32:J32"/>
    <mergeCell ref="F6:J6"/>
    <mergeCell ref="L6:O6"/>
    <mergeCell ref="H26:I26"/>
    <mergeCell ref="H28:I28"/>
    <mergeCell ref="I30:J30"/>
    <mergeCell ref="H31:I3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A1:K33"/>
  <sheetViews>
    <sheetView zoomScale="115" zoomScaleNormal="115" workbookViewId="0">
      <selection activeCell="J23" sqref="J23"/>
    </sheetView>
  </sheetViews>
  <sheetFormatPr baseColWidth="10" defaultColWidth="11.44140625" defaultRowHeight="12" x14ac:dyDescent="0.25"/>
  <cols>
    <col min="1" max="1" width="8.77734375" style="191" bestFit="1" customWidth="1"/>
    <col min="2" max="2" width="3.5546875" style="191" bestFit="1" customWidth="1"/>
    <col min="3" max="3" width="44.21875" style="191" customWidth="1"/>
    <col min="4" max="4" width="15.77734375" style="191" customWidth="1"/>
    <col min="5" max="5" width="19.77734375" style="191" bestFit="1" customWidth="1"/>
    <col min="6" max="6" width="12.21875" style="191" bestFit="1" customWidth="1"/>
    <col min="7" max="7" width="13.44140625" style="191" bestFit="1" customWidth="1"/>
    <col min="8" max="8" width="14.5546875" style="191" bestFit="1" customWidth="1"/>
    <col min="9" max="9" width="12.77734375" style="191" customWidth="1"/>
    <col min="10" max="10" width="14.44140625" style="191" bestFit="1" customWidth="1"/>
    <col min="11" max="11" width="15.21875" style="191" bestFit="1" customWidth="1"/>
    <col min="12" max="16384" width="11.44140625" style="191"/>
  </cols>
  <sheetData>
    <row r="1" spans="1:11" x14ac:dyDescent="0.25">
      <c r="E1" s="192" t="s">
        <v>328</v>
      </c>
      <c r="F1" s="193" t="str">
        <f>'USD, UF de Hoy'!C4</f>
        <v>975,82</v>
      </c>
      <c r="G1" s="221">
        <v>45223</v>
      </c>
    </row>
    <row r="2" spans="1:11" x14ac:dyDescent="0.25">
      <c r="E2" s="191" t="s">
        <v>329</v>
      </c>
    </row>
    <row r="6" spans="1:11" ht="14.4" x14ac:dyDescent="0.3">
      <c r="D6" s="339" t="s">
        <v>330</v>
      </c>
      <c r="E6" s="340"/>
      <c r="F6" s="194" t="s">
        <v>331</v>
      </c>
    </row>
    <row r="7" spans="1:11" ht="24" x14ac:dyDescent="0.25">
      <c r="A7" s="195" t="s">
        <v>332</v>
      </c>
      <c r="C7" s="195" t="s">
        <v>333</v>
      </c>
      <c r="D7" s="196" t="s">
        <v>334</v>
      </c>
      <c r="E7" s="196" t="s">
        <v>335</v>
      </c>
      <c r="F7" s="197" t="s">
        <v>336</v>
      </c>
      <c r="G7" s="197" t="s">
        <v>337</v>
      </c>
      <c r="H7" s="197" t="s">
        <v>338</v>
      </c>
    </row>
    <row r="8" spans="1:11" x14ac:dyDescent="0.25">
      <c r="A8" s="198"/>
      <c r="C8" s="199" t="s">
        <v>1090</v>
      </c>
      <c r="D8" s="231">
        <f>CC_EQUIPOS_!F31</f>
        <v>274289.25568980002</v>
      </c>
      <c r="E8" s="200"/>
      <c r="F8" s="201">
        <f>(D8/F1)+E8</f>
        <v>281.0859130677789</v>
      </c>
      <c r="G8" s="204">
        <v>0.25</v>
      </c>
      <c r="H8" s="201">
        <f>F8/(1-G8)</f>
        <v>374.78121742370519</v>
      </c>
      <c r="I8" s="199"/>
      <c r="K8" s="191" t="s">
        <v>340</v>
      </c>
    </row>
    <row r="9" spans="1:11" x14ac:dyDescent="0.25">
      <c r="A9" s="198"/>
      <c r="C9" s="199" t="s">
        <v>323</v>
      </c>
      <c r="D9" s="231">
        <f>CC_EQUIPOS_!F32</f>
        <v>89489.598010199988</v>
      </c>
      <c r="E9" s="201">
        <v>0</v>
      </c>
      <c r="F9" s="201">
        <f>(D9/F1)+E9</f>
        <v>91.707075085773994</v>
      </c>
      <c r="G9" s="204">
        <v>0.25</v>
      </c>
      <c r="H9" s="201">
        <f>F9/(1-G9)</f>
        <v>122.27610011436532</v>
      </c>
      <c r="I9" s="201"/>
    </row>
    <row r="10" spans="1:11" ht="12.6" thickBot="1" x14ac:dyDescent="0.3">
      <c r="A10" s="198"/>
      <c r="C10" s="199"/>
      <c r="D10" s="203"/>
      <c r="E10" s="205"/>
      <c r="F10" s="201">
        <f>D10/F1</f>
        <v>0</v>
      </c>
      <c r="G10" s="206">
        <v>0.26</v>
      </c>
      <c r="H10" s="207">
        <f>F10/(1-G10)</f>
        <v>0</v>
      </c>
      <c r="I10" s="199"/>
    </row>
    <row r="11" spans="1:11" ht="12.6" thickBot="1" x14ac:dyDescent="0.3">
      <c r="D11" s="202"/>
      <c r="E11" s="208"/>
      <c r="G11" s="209" t="s">
        <v>339</v>
      </c>
      <c r="H11" s="210">
        <f>SUM(H8:H10)</f>
        <v>497.05731753807049</v>
      </c>
    </row>
    <row r="12" spans="1:11" x14ac:dyDescent="0.25">
      <c r="D12" s="202"/>
      <c r="E12" s="208"/>
      <c r="F12" s="211"/>
      <c r="H12" s="211"/>
      <c r="I12" s="211"/>
      <c r="J12" s="202"/>
      <c r="K12" s="211"/>
    </row>
    <row r="13" spans="1:11" x14ac:dyDescent="0.25">
      <c r="C13" s="222"/>
      <c r="G13" s="211"/>
      <c r="I13" s="194"/>
    </row>
    <row r="14" spans="1:11" ht="14.4" x14ac:dyDescent="0.3">
      <c r="C14" s="222"/>
      <c r="D14" s="212"/>
      <c r="F14" s="211"/>
      <c r="I14" s="213"/>
    </row>
    <row r="15" spans="1:11" x14ac:dyDescent="0.25">
      <c r="C15" s="222"/>
      <c r="F15" s="217"/>
    </row>
    <row r="16" spans="1:11" x14ac:dyDescent="0.25">
      <c r="D16" s="200"/>
      <c r="F16" s="211"/>
      <c r="I16" s="211"/>
    </row>
    <row r="17" spans="4:10" ht="12.6" thickBot="1" x14ac:dyDescent="0.3">
      <c r="E17" s="232" t="s">
        <v>1093</v>
      </c>
      <c r="F17" s="211"/>
      <c r="G17" s="214"/>
    </row>
    <row r="18" spans="4:10" ht="15" thickBot="1" x14ac:dyDescent="0.3">
      <c r="D18" s="233" t="s">
        <v>1091</v>
      </c>
      <c r="E18" s="234">
        <f>H8*F1</f>
        <v>365719.00758640002</v>
      </c>
      <c r="F18" s="211"/>
      <c r="I18" s="307">
        <f>E18*1.14</f>
        <v>416919.66864849598</v>
      </c>
      <c r="J18" s="308" t="s">
        <v>341</v>
      </c>
    </row>
    <row r="19" spans="4:10" ht="15" thickBot="1" x14ac:dyDescent="0.3">
      <c r="D19" s="235" t="s">
        <v>1092</v>
      </c>
      <c r="E19" s="234">
        <f>H9*$F$1</f>
        <v>119319.46401359998</v>
      </c>
      <c r="F19" s="215"/>
      <c r="I19" s="309">
        <f>I18*1.19</f>
        <v>496134.40569171018</v>
      </c>
      <c r="J19" s="234" t="s">
        <v>1286</v>
      </c>
    </row>
    <row r="20" spans="4:10" x14ac:dyDescent="0.25">
      <c r="E20" s="202"/>
      <c r="F20" s="211"/>
      <c r="I20" s="216"/>
      <c r="J20" s="199"/>
    </row>
    <row r="21" spans="4:10" x14ac:dyDescent="0.25">
      <c r="E21" s="278"/>
      <c r="I21" s="211"/>
    </row>
    <row r="22" spans="4:10" x14ac:dyDescent="0.25">
      <c r="F22" s="211"/>
    </row>
    <row r="23" spans="4:10" x14ac:dyDescent="0.25">
      <c r="F23" s="211"/>
    </row>
    <row r="33" spans="8:8" x14ac:dyDescent="0.25">
      <c r="H33" s="191" t="s">
        <v>345</v>
      </c>
    </row>
  </sheetData>
  <mergeCells count="1">
    <mergeCell ref="D6:E6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C22"/>
  <sheetViews>
    <sheetView workbookViewId="0">
      <selection activeCell="F9" sqref="F9"/>
    </sheetView>
  </sheetViews>
  <sheetFormatPr baseColWidth="10" defaultRowHeight="14.4" x14ac:dyDescent="0.3"/>
  <cols>
    <col min="1" max="1" width="40.21875" bestFit="1" customWidth="1"/>
    <col min="2" max="3" width="11.21875" bestFit="1" customWidth="1"/>
  </cols>
  <sheetData>
    <row r="1" spans="1:3" x14ac:dyDescent="0.3">
      <c r="A1" t="s">
        <v>354</v>
      </c>
      <c r="B1" t="s">
        <v>355</v>
      </c>
      <c r="C1" t="s">
        <v>356</v>
      </c>
    </row>
    <row r="2" spans="1:3" ht="15.6" x14ac:dyDescent="0.3">
      <c r="A2" t="s">
        <v>357</v>
      </c>
      <c r="B2" t="s">
        <v>358</v>
      </c>
      <c r="C2" s="223" t="s">
        <v>1272</v>
      </c>
    </row>
    <row r="3" spans="1:3" x14ac:dyDescent="0.3">
      <c r="A3" t="s">
        <v>359</v>
      </c>
      <c r="B3" t="s">
        <v>358</v>
      </c>
      <c r="C3" t="s">
        <v>1273</v>
      </c>
    </row>
    <row r="4" spans="1:3" ht="15.6" x14ac:dyDescent="0.3">
      <c r="A4" t="s">
        <v>360</v>
      </c>
      <c r="B4" t="s">
        <v>358</v>
      </c>
      <c r="C4" s="223" t="s">
        <v>1274</v>
      </c>
    </row>
    <row r="5" spans="1:3" x14ac:dyDescent="0.3">
      <c r="A5" t="s">
        <v>361</v>
      </c>
      <c r="B5" t="s">
        <v>358</v>
      </c>
      <c r="C5" t="s">
        <v>1275</v>
      </c>
    </row>
    <row r="6" spans="1:3" x14ac:dyDescent="0.3">
      <c r="A6" t="s">
        <v>362</v>
      </c>
      <c r="B6" t="s">
        <v>358</v>
      </c>
      <c r="C6" t="s">
        <v>1276</v>
      </c>
    </row>
    <row r="7" spans="1:3" x14ac:dyDescent="0.3">
      <c r="A7" t="s">
        <v>363</v>
      </c>
      <c r="B7" t="s">
        <v>364</v>
      </c>
      <c r="C7" t="s">
        <v>365</v>
      </c>
    </row>
    <row r="8" spans="1:3" x14ac:dyDescent="0.3">
      <c r="A8" t="s">
        <v>361</v>
      </c>
      <c r="B8" t="s">
        <v>358</v>
      </c>
      <c r="C8" t="s">
        <v>1277</v>
      </c>
    </row>
    <row r="9" spans="1:3" x14ac:dyDescent="0.3">
      <c r="A9" t="s">
        <v>366</v>
      </c>
      <c r="B9" t="s">
        <v>358</v>
      </c>
      <c r="C9" t="s">
        <v>1278</v>
      </c>
    </row>
    <row r="10" spans="1:3" x14ac:dyDescent="0.3">
      <c r="A10" t="s">
        <v>367</v>
      </c>
      <c r="B10" t="s">
        <v>364</v>
      </c>
      <c r="C10" t="s">
        <v>365</v>
      </c>
    </row>
    <row r="11" spans="1:3" x14ac:dyDescent="0.3">
      <c r="A11" t="s">
        <v>368</v>
      </c>
      <c r="B11" t="s">
        <v>364</v>
      </c>
      <c r="C11" t="s">
        <v>369</v>
      </c>
    </row>
    <row r="12" spans="1:3" x14ac:dyDescent="0.3">
      <c r="A12" t="s">
        <v>370</v>
      </c>
      <c r="B12" t="s">
        <v>364</v>
      </c>
      <c r="C12" t="s">
        <v>365</v>
      </c>
    </row>
    <row r="13" spans="1:3" x14ac:dyDescent="0.3">
      <c r="A13" t="s">
        <v>371</v>
      </c>
      <c r="B13" t="s">
        <v>358</v>
      </c>
      <c r="C13" t="s">
        <v>1279</v>
      </c>
    </row>
    <row r="14" spans="1:3" x14ac:dyDescent="0.3">
      <c r="A14" t="s">
        <v>372</v>
      </c>
      <c r="B14" t="s">
        <v>358</v>
      </c>
      <c r="C14" t="s">
        <v>1280</v>
      </c>
    </row>
    <row r="15" spans="1:3" x14ac:dyDescent="0.3">
      <c r="A15" t="s">
        <v>373</v>
      </c>
      <c r="B15" t="s">
        <v>358</v>
      </c>
      <c r="C15" t="s">
        <v>1281</v>
      </c>
    </row>
    <row r="16" spans="1:3" x14ac:dyDescent="0.3">
      <c r="A16" t="s">
        <v>374</v>
      </c>
      <c r="B16" t="s">
        <v>358</v>
      </c>
      <c r="C16" t="s">
        <v>365</v>
      </c>
    </row>
    <row r="17" spans="1:3" x14ac:dyDescent="0.3">
      <c r="A17" t="s">
        <v>375</v>
      </c>
      <c r="B17" t="s">
        <v>358</v>
      </c>
      <c r="C17" t="s">
        <v>365</v>
      </c>
    </row>
    <row r="18" spans="1:3" x14ac:dyDescent="0.3">
      <c r="A18" t="s">
        <v>376</v>
      </c>
      <c r="B18" t="s">
        <v>358</v>
      </c>
      <c r="C18" t="s">
        <v>365</v>
      </c>
    </row>
    <row r="19" spans="1:3" x14ac:dyDescent="0.3">
      <c r="A19" t="s">
        <v>377</v>
      </c>
      <c r="B19" t="s">
        <v>358</v>
      </c>
      <c r="C19" t="s">
        <v>365</v>
      </c>
    </row>
    <row r="20" spans="1:3" x14ac:dyDescent="0.3">
      <c r="A20" t="s">
        <v>378</v>
      </c>
      <c r="B20" t="s">
        <v>358</v>
      </c>
      <c r="C20" t="s">
        <v>365</v>
      </c>
    </row>
    <row r="21" spans="1:3" x14ac:dyDescent="0.3">
      <c r="A21" t="s">
        <v>379</v>
      </c>
      <c r="B21" t="s">
        <v>358</v>
      </c>
      <c r="C21" t="s">
        <v>365</v>
      </c>
    </row>
    <row r="22" spans="1:3" x14ac:dyDescent="0.3">
      <c r="A22" t="s">
        <v>380</v>
      </c>
      <c r="B22" t="s">
        <v>358</v>
      </c>
      <c r="C22" t="s">
        <v>365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I11"/>
  <sheetViews>
    <sheetView workbookViewId="0">
      <selection activeCell="I12" sqref="I12"/>
    </sheetView>
  </sheetViews>
  <sheetFormatPr baseColWidth="10" defaultRowHeight="14.4" x14ac:dyDescent="0.3"/>
  <sheetData>
    <row r="11" spans="9:9" x14ac:dyDescent="0.3">
      <c r="I11">
        <f>1800000/6</f>
        <v>300000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" filterMode="1"/>
  <dimension ref="A3:H435"/>
  <sheetViews>
    <sheetView zoomScale="115" zoomScaleNormal="115" workbookViewId="0">
      <selection activeCell="G4" sqref="G4"/>
    </sheetView>
  </sheetViews>
  <sheetFormatPr baseColWidth="10" defaultRowHeight="14.4" x14ac:dyDescent="0.3"/>
  <cols>
    <col min="2" max="2" width="11" customWidth="1"/>
    <col min="3" max="3" width="84.5546875" customWidth="1"/>
    <col min="4" max="4" width="11.44140625" customWidth="1"/>
    <col min="5" max="5" width="16.77734375" customWidth="1"/>
    <col min="6" max="6" width="11.44140625" customWidth="1"/>
    <col min="7" max="7" width="14.5546875" bestFit="1" customWidth="1"/>
  </cols>
  <sheetData>
    <row r="3" spans="2:8" x14ac:dyDescent="0.3">
      <c r="G3">
        <v>1.25</v>
      </c>
    </row>
    <row r="4" spans="2:8" x14ac:dyDescent="0.3">
      <c r="G4" t="s">
        <v>1287</v>
      </c>
    </row>
    <row r="5" spans="2:8" x14ac:dyDescent="0.3">
      <c r="B5" s="224" t="s">
        <v>381</v>
      </c>
      <c r="C5" s="224" t="s">
        <v>382</v>
      </c>
      <c r="D5" s="224" t="s">
        <v>383</v>
      </c>
      <c r="E5" s="224" t="s">
        <v>384</v>
      </c>
      <c r="F5" s="224" t="s">
        <v>385</v>
      </c>
      <c r="G5" s="224" t="s">
        <v>386</v>
      </c>
      <c r="H5" t="s">
        <v>386</v>
      </c>
    </row>
    <row r="6" spans="2:8" x14ac:dyDescent="0.3">
      <c r="B6" s="68" t="s">
        <v>387</v>
      </c>
      <c r="C6" s="68" t="s">
        <v>388</v>
      </c>
      <c r="D6" s="225">
        <v>1</v>
      </c>
      <c r="E6" s="225">
        <v>811</v>
      </c>
      <c r="F6" s="225">
        <v>28</v>
      </c>
      <c r="G6" s="225">
        <f>H6*1.25</f>
        <v>730</v>
      </c>
      <c r="H6">
        <v>584</v>
      </c>
    </row>
    <row r="7" spans="2:8" x14ac:dyDescent="0.3">
      <c r="B7" s="68" t="s">
        <v>389</v>
      </c>
      <c r="C7" s="68" t="s">
        <v>390</v>
      </c>
      <c r="D7" s="225">
        <v>1</v>
      </c>
      <c r="E7" s="225">
        <v>631</v>
      </c>
      <c r="F7" s="225">
        <v>28</v>
      </c>
      <c r="G7" s="225">
        <f t="shared" ref="G7:G70" si="0">H7*1.25</f>
        <v>567.5</v>
      </c>
      <c r="H7">
        <v>454</v>
      </c>
    </row>
    <row r="8" spans="2:8" x14ac:dyDescent="0.3">
      <c r="B8" s="68" t="s">
        <v>391</v>
      </c>
      <c r="C8" s="68" t="s">
        <v>392</v>
      </c>
      <c r="D8" s="225">
        <v>1</v>
      </c>
      <c r="E8" s="225">
        <v>577</v>
      </c>
      <c r="F8" s="225">
        <v>28</v>
      </c>
      <c r="G8" s="225">
        <f t="shared" si="0"/>
        <v>518.75</v>
      </c>
      <c r="H8">
        <v>415</v>
      </c>
    </row>
    <row r="9" spans="2:8" x14ac:dyDescent="0.3">
      <c r="B9" s="68" t="s">
        <v>393</v>
      </c>
      <c r="C9" s="68" t="s">
        <v>394</v>
      </c>
      <c r="D9" s="225">
        <v>1</v>
      </c>
      <c r="E9" s="225">
        <v>1669</v>
      </c>
      <c r="F9" s="225">
        <v>28</v>
      </c>
      <c r="G9" s="225">
        <f t="shared" si="0"/>
        <v>1502.5</v>
      </c>
      <c r="H9">
        <v>1202</v>
      </c>
    </row>
    <row r="10" spans="2:8" x14ac:dyDescent="0.3">
      <c r="B10" s="68" t="s">
        <v>395</v>
      </c>
      <c r="C10" s="68" t="s">
        <v>396</v>
      </c>
      <c r="D10" s="225">
        <v>1</v>
      </c>
      <c r="E10" s="225">
        <v>1140</v>
      </c>
      <c r="F10" s="225">
        <v>28</v>
      </c>
      <c r="G10" s="225">
        <f t="shared" si="0"/>
        <v>1026.25</v>
      </c>
      <c r="H10">
        <v>821</v>
      </c>
    </row>
    <row r="11" spans="2:8" x14ac:dyDescent="0.3">
      <c r="B11" s="68" t="s">
        <v>397</v>
      </c>
      <c r="C11" s="68" t="s">
        <v>398</v>
      </c>
      <c r="D11" s="225">
        <v>1</v>
      </c>
      <c r="E11" s="225">
        <v>1294</v>
      </c>
      <c r="F11" s="225">
        <v>28</v>
      </c>
      <c r="G11" s="225">
        <f t="shared" si="0"/>
        <v>1165</v>
      </c>
      <c r="H11">
        <v>932</v>
      </c>
    </row>
    <row r="12" spans="2:8" x14ac:dyDescent="0.3">
      <c r="B12" s="68" t="s">
        <v>399</v>
      </c>
      <c r="C12" s="68" t="s">
        <v>400</v>
      </c>
      <c r="D12" s="225">
        <v>1</v>
      </c>
      <c r="E12" s="225">
        <v>3425</v>
      </c>
      <c r="F12" s="225">
        <v>28</v>
      </c>
      <c r="G12" s="225">
        <f t="shared" si="0"/>
        <v>3082.5</v>
      </c>
      <c r="H12">
        <v>2466</v>
      </c>
    </row>
    <row r="13" spans="2:8" x14ac:dyDescent="0.3">
      <c r="B13" s="68" t="s">
        <v>401</v>
      </c>
      <c r="C13" s="68" t="s">
        <v>402</v>
      </c>
      <c r="D13" s="225">
        <v>1</v>
      </c>
      <c r="E13" s="225">
        <v>2191</v>
      </c>
      <c r="F13" s="225">
        <v>28</v>
      </c>
      <c r="G13" s="225">
        <f t="shared" si="0"/>
        <v>1972.5</v>
      </c>
      <c r="H13">
        <v>1578</v>
      </c>
    </row>
    <row r="14" spans="2:8" x14ac:dyDescent="0.3">
      <c r="B14" s="68" t="s">
        <v>403</v>
      </c>
      <c r="C14" s="68" t="s">
        <v>404</v>
      </c>
      <c r="D14" s="225">
        <v>1</v>
      </c>
      <c r="E14" s="225">
        <v>3011</v>
      </c>
      <c r="F14" s="225">
        <v>28</v>
      </c>
      <c r="G14" s="225">
        <f t="shared" si="0"/>
        <v>2710</v>
      </c>
      <c r="H14">
        <v>2168</v>
      </c>
    </row>
    <row r="15" spans="2:8" x14ac:dyDescent="0.3">
      <c r="B15" s="68" t="s">
        <v>405</v>
      </c>
      <c r="C15" s="68" t="s">
        <v>406</v>
      </c>
      <c r="D15" s="225">
        <v>1</v>
      </c>
      <c r="E15" s="225">
        <v>5819</v>
      </c>
      <c r="F15" s="225">
        <v>28</v>
      </c>
      <c r="G15" s="225">
        <f t="shared" si="0"/>
        <v>5237.5</v>
      </c>
      <c r="H15">
        <v>4190</v>
      </c>
    </row>
    <row r="16" spans="2:8" x14ac:dyDescent="0.3">
      <c r="B16" s="68" t="s">
        <v>407</v>
      </c>
      <c r="C16" s="68" t="s">
        <v>408</v>
      </c>
      <c r="D16" s="225">
        <v>1</v>
      </c>
      <c r="E16" s="225">
        <v>3862</v>
      </c>
      <c r="F16" s="225">
        <v>28</v>
      </c>
      <c r="G16" s="225">
        <f t="shared" si="0"/>
        <v>3476.25</v>
      </c>
      <c r="H16">
        <v>2781</v>
      </c>
    </row>
    <row r="17" spans="2:8" x14ac:dyDescent="0.3">
      <c r="B17" s="68" t="s">
        <v>409</v>
      </c>
      <c r="C17" s="68" t="s">
        <v>410</v>
      </c>
      <c r="D17" s="225">
        <v>1</v>
      </c>
      <c r="E17" s="225">
        <v>4870</v>
      </c>
      <c r="F17" s="225">
        <v>28</v>
      </c>
      <c r="G17" s="225">
        <f t="shared" si="0"/>
        <v>4382.5</v>
      </c>
      <c r="H17">
        <v>3506</v>
      </c>
    </row>
    <row r="18" spans="2:8" x14ac:dyDescent="0.3">
      <c r="B18" s="68" t="s">
        <v>411</v>
      </c>
      <c r="C18" s="68" t="s">
        <v>412</v>
      </c>
      <c r="D18" s="225">
        <v>1</v>
      </c>
      <c r="E18" s="225">
        <v>3768</v>
      </c>
      <c r="F18" s="225">
        <v>28</v>
      </c>
      <c r="G18" s="225">
        <f t="shared" si="0"/>
        <v>3391.25</v>
      </c>
      <c r="H18">
        <v>2713</v>
      </c>
    </row>
    <row r="19" spans="2:8" x14ac:dyDescent="0.3">
      <c r="B19" s="68" t="s">
        <v>413</v>
      </c>
      <c r="C19" s="68" t="s">
        <v>414</v>
      </c>
      <c r="D19" s="225">
        <v>1</v>
      </c>
      <c r="E19" s="225">
        <v>4597</v>
      </c>
      <c r="F19" s="225">
        <v>28</v>
      </c>
      <c r="G19" s="225">
        <f t="shared" si="0"/>
        <v>4137.5</v>
      </c>
      <c r="H19">
        <v>3310</v>
      </c>
    </row>
    <row r="20" spans="2:8" x14ac:dyDescent="0.3">
      <c r="B20" s="68" t="s">
        <v>415</v>
      </c>
      <c r="C20" s="68" t="s">
        <v>416</v>
      </c>
      <c r="D20" s="225">
        <v>1</v>
      </c>
      <c r="E20" s="225">
        <v>6652</v>
      </c>
      <c r="F20" s="225">
        <v>28</v>
      </c>
      <c r="G20" s="225">
        <f t="shared" si="0"/>
        <v>5986.25</v>
      </c>
      <c r="H20">
        <v>4789</v>
      </c>
    </row>
    <row r="21" spans="2:8" x14ac:dyDescent="0.3">
      <c r="B21" s="68" t="s">
        <v>417</v>
      </c>
      <c r="C21" s="68" t="s">
        <v>418</v>
      </c>
      <c r="D21" s="225">
        <v>1</v>
      </c>
      <c r="E21" s="225">
        <v>3862</v>
      </c>
      <c r="F21" s="225">
        <v>28</v>
      </c>
      <c r="G21" s="225">
        <f t="shared" si="0"/>
        <v>3476.25</v>
      </c>
      <c r="H21">
        <v>2781</v>
      </c>
    </row>
    <row r="22" spans="2:8" x14ac:dyDescent="0.3">
      <c r="B22" s="68" t="s">
        <v>419</v>
      </c>
      <c r="C22" s="68" t="s">
        <v>420</v>
      </c>
      <c r="D22" s="225">
        <v>1</v>
      </c>
      <c r="E22" s="225">
        <v>4597</v>
      </c>
      <c r="F22" s="225">
        <v>28</v>
      </c>
      <c r="G22" s="225">
        <f t="shared" si="0"/>
        <v>4137.5</v>
      </c>
      <c r="H22">
        <v>3310</v>
      </c>
    </row>
    <row r="23" spans="2:8" x14ac:dyDescent="0.3">
      <c r="B23" s="68" t="s">
        <v>421</v>
      </c>
      <c r="C23" s="68" t="s">
        <v>422</v>
      </c>
      <c r="D23" s="225">
        <v>1</v>
      </c>
      <c r="E23" s="225">
        <v>6490</v>
      </c>
      <c r="F23" s="225">
        <v>28</v>
      </c>
      <c r="G23" s="225">
        <f t="shared" si="0"/>
        <v>5841.25</v>
      </c>
      <c r="H23">
        <v>4673</v>
      </c>
    </row>
    <row r="24" spans="2:8" x14ac:dyDescent="0.3">
      <c r="B24" s="68" t="s">
        <v>423</v>
      </c>
      <c r="C24" s="68" t="s">
        <v>424</v>
      </c>
      <c r="D24" s="225">
        <v>1</v>
      </c>
      <c r="E24" s="225">
        <v>3552</v>
      </c>
      <c r="F24" s="225">
        <v>28</v>
      </c>
      <c r="G24" s="225">
        <f t="shared" si="0"/>
        <v>3196.25</v>
      </c>
      <c r="H24">
        <v>2557</v>
      </c>
    </row>
    <row r="25" spans="2:8" x14ac:dyDescent="0.3">
      <c r="B25" s="68" t="s">
        <v>425</v>
      </c>
      <c r="C25" s="68" t="s">
        <v>426</v>
      </c>
      <c r="D25" s="225">
        <v>1</v>
      </c>
      <c r="E25" s="225">
        <v>4597</v>
      </c>
      <c r="F25" s="225">
        <v>28</v>
      </c>
      <c r="G25" s="225">
        <f t="shared" si="0"/>
        <v>4137.5</v>
      </c>
      <c r="H25">
        <v>3310</v>
      </c>
    </row>
    <row r="26" spans="2:8" x14ac:dyDescent="0.3">
      <c r="B26" s="68" t="s">
        <v>427</v>
      </c>
      <c r="C26" s="68" t="s">
        <v>428</v>
      </c>
      <c r="D26" s="225">
        <v>1</v>
      </c>
      <c r="E26" s="225">
        <v>6490</v>
      </c>
      <c r="F26" s="225">
        <v>28</v>
      </c>
      <c r="G26" s="225">
        <f t="shared" si="0"/>
        <v>5841.25</v>
      </c>
      <c r="H26">
        <v>4673</v>
      </c>
    </row>
    <row r="27" spans="2:8" x14ac:dyDescent="0.3">
      <c r="B27" s="68" t="s">
        <v>429</v>
      </c>
      <c r="C27" s="68" t="s">
        <v>430</v>
      </c>
      <c r="D27" s="225">
        <v>1</v>
      </c>
      <c r="E27" s="225">
        <v>7409</v>
      </c>
      <c r="F27" s="225">
        <v>28</v>
      </c>
      <c r="G27" s="225">
        <f t="shared" si="0"/>
        <v>6667.5</v>
      </c>
      <c r="H27">
        <v>5334</v>
      </c>
    </row>
    <row r="28" spans="2:8" x14ac:dyDescent="0.3">
      <c r="B28" s="68" t="s">
        <v>431</v>
      </c>
      <c r="C28" s="68" t="s">
        <v>432</v>
      </c>
      <c r="D28" s="225">
        <v>1</v>
      </c>
      <c r="E28" s="225">
        <v>4084</v>
      </c>
      <c r="F28" s="225">
        <v>28</v>
      </c>
      <c r="G28" s="225">
        <f t="shared" si="0"/>
        <v>3675</v>
      </c>
      <c r="H28">
        <v>2940</v>
      </c>
    </row>
    <row r="29" spans="2:8" x14ac:dyDescent="0.3">
      <c r="B29" s="68" t="s">
        <v>433</v>
      </c>
      <c r="C29" s="68" t="s">
        <v>434</v>
      </c>
      <c r="D29" s="225">
        <v>1</v>
      </c>
      <c r="E29" s="225">
        <v>5382</v>
      </c>
      <c r="F29" s="225">
        <v>28</v>
      </c>
      <c r="G29" s="225">
        <f t="shared" si="0"/>
        <v>4843.75</v>
      </c>
      <c r="H29">
        <v>3875</v>
      </c>
    </row>
    <row r="30" spans="2:8" x14ac:dyDescent="0.3">
      <c r="B30" s="68" t="s">
        <v>435</v>
      </c>
      <c r="C30" s="68" t="s">
        <v>436</v>
      </c>
      <c r="D30" s="225">
        <v>1</v>
      </c>
      <c r="E30" s="225">
        <v>34</v>
      </c>
      <c r="F30" s="225">
        <v>28</v>
      </c>
      <c r="G30" s="225">
        <f t="shared" si="0"/>
        <v>30</v>
      </c>
      <c r="H30">
        <v>24</v>
      </c>
    </row>
    <row r="31" spans="2:8" x14ac:dyDescent="0.3">
      <c r="B31" s="68" t="s">
        <v>437</v>
      </c>
      <c r="C31" s="68" t="s">
        <v>438</v>
      </c>
      <c r="D31" s="225">
        <v>1</v>
      </c>
      <c r="E31" s="225">
        <v>1962</v>
      </c>
      <c r="F31" s="225">
        <v>28</v>
      </c>
      <c r="G31" s="225">
        <f t="shared" si="0"/>
        <v>1766.25</v>
      </c>
      <c r="H31">
        <v>1413</v>
      </c>
    </row>
    <row r="32" spans="2:8" x14ac:dyDescent="0.3">
      <c r="B32" s="68" t="s">
        <v>439</v>
      </c>
      <c r="C32" s="68" t="s">
        <v>440</v>
      </c>
      <c r="D32" s="225">
        <v>1</v>
      </c>
      <c r="E32" s="225">
        <v>1218</v>
      </c>
      <c r="F32" s="225">
        <v>28</v>
      </c>
      <c r="G32" s="225">
        <f t="shared" si="0"/>
        <v>1096.25</v>
      </c>
      <c r="H32">
        <v>877</v>
      </c>
    </row>
    <row r="33" spans="2:8" x14ac:dyDescent="0.3">
      <c r="B33" s="68" t="s">
        <v>441</v>
      </c>
      <c r="C33" s="68" t="s">
        <v>442</v>
      </c>
      <c r="D33" s="225">
        <v>1</v>
      </c>
      <c r="E33" s="225">
        <v>957</v>
      </c>
      <c r="F33" s="225">
        <v>28</v>
      </c>
      <c r="G33" s="225">
        <f t="shared" si="0"/>
        <v>861.25</v>
      </c>
      <c r="H33">
        <v>689</v>
      </c>
    </row>
    <row r="34" spans="2:8" x14ac:dyDescent="0.3">
      <c r="B34" s="68" t="s">
        <v>443</v>
      </c>
      <c r="C34" s="68" t="s">
        <v>444</v>
      </c>
      <c r="D34" s="225">
        <v>1</v>
      </c>
      <c r="E34" s="225">
        <v>7104</v>
      </c>
      <c r="F34" s="225">
        <v>28</v>
      </c>
      <c r="G34" s="225">
        <f t="shared" si="0"/>
        <v>6393.75</v>
      </c>
      <c r="H34">
        <v>5115</v>
      </c>
    </row>
    <row r="35" spans="2:8" x14ac:dyDescent="0.3">
      <c r="B35" s="68" t="s">
        <v>445</v>
      </c>
      <c r="C35" s="68" t="s">
        <v>446</v>
      </c>
      <c r="D35" s="225">
        <v>1</v>
      </c>
      <c r="E35" s="225">
        <v>3653</v>
      </c>
      <c r="F35" s="225">
        <v>28</v>
      </c>
      <c r="G35" s="225">
        <f t="shared" si="0"/>
        <v>3287.5</v>
      </c>
      <c r="H35">
        <v>2630</v>
      </c>
    </row>
    <row r="36" spans="2:8" x14ac:dyDescent="0.3">
      <c r="B36" s="68" t="s">
        <v>447</v>
      </c>
      <c r="C36" s="68" t="s">
        <v>448</v>
      </c>
      <c r="D36" s="225">
        <v>1</v>
      </c>
      <c r="E36" s="225">
        <v>4774</v>
      </c>
      <c r="F36" s="225">
        <v>28</v>
      </c>
      <c r="G36" s="225">
        <f t="shared" si="0"/>
        <v>4296.25</v>
      </c>
      <c r="H36">
        <v>3437</v>
      </c>
    </row>
    <row r="37" spans="2:8" x14ac:dyDescent="0.3">
      <c r="B37" s="68" t="s">
        <v>449</v>
      </c>
      <c r="C37" s="68" t="s">
        <v>450</v>
      </c>
      <c r="D37" s="225">
        <v>1</v>
      </c>
      <c r="E37" s="225">
        <v>11033</v>
      </c>
      <c r="F37" s="225">
        <v>28</v>
      </c>
      <c r="G37" s="225">
        <f t="shared" si="0"/>
        <v>9930</v>
      </c>
      <c r="H37">
        <v>7944</v>
      </c>
    </row>
    <row r="38" spans="2:8" x14ac:dyDescent="0.3">
      <c r="B38" s="68" t="s">
        <v>451</v>
      </c>
      <c r="C38" s="68" t="s">
        <v>452</v>
      </c>
      <c r="D38" s="225">
        <v>1</v>
      </c>
      <c r="E38" s="225">
        <v>8678</v>
      </c>
      <c r="F38" s="225">
        <v>28</v>
      </c>
      <c r="G38" s="225">
        <f t="shared" si="0"/>
        <v>7810</v>
      </c>
      <c r="H38">
        <v>6248</v>
      </c>
    </row>
    <row r="39" spans="2:8" x14ac:dyDescent="0.3">
      <c r="B39" s="68" t="s">
        <v>453</v>
      </c>
      <c r="C39" s="68" t="s">
        <v>454</v>
      </c>
      <c r="D39" s="225">
        <v>1</v>
      </c>
      <c r="E39" s="225">
        <v>1493</v>
      </c>
      <c r="F39" s="225">
        <v>28</v>
      </c>
      <c r="G39" s="225">
        <f t="shared" si="0"/>
        <v>1343.75</v>
      </c>
      <c r="H39">
        <v>1075</v>
      </c>
    </row>
    <row r="40" spans="2:8" x14ac:dyDescent="0.3">
      <c r="B40" s="68" t="s">
        <v>455</v>
      </c>
      <c r="C40" s="68" t="s">
        <v>456</v>
      </c>
      <c r="D40" s="225">
        <v>1</v>
      </c>
      <c r="E40" s="225">
        <v>21165</v>
      </c>
      <c r="F40" s="225">
        <v>28</v>
      </c>
      <c r="G40" s="225">
        <f t="shared" si="0"/>
        <v>19048.75</v>
      </c>
      <c r="H40">
        <v>15239</v>
      </c>
    </row>
    <row r="41" spans="2:8" x14ac:dyDescent="0.3">
      <c r="B41" s="68" t="s">
        <v>457</v>
      </c>
      <c r="C41" s="68" t="s">
        <v>458</v>
      </c>
      <c r="D41" s="225">
        <v>1</v>
      </c>
      <c r="E41" s="225">
        <v>29944</v>
      </c>
      <c r="F41" s="225">
        <v>28</v>
      </c>
      <c r="G41" s="225">
        <f t="shared" si="0"/>
        <v>26950</v>
      </c>
      <c r="H41">
        <v>21560</v>
      </c>
    </row>
    <row r="42" spans="2:8" x14ac:dyDescent="0.3">
      <c r="B42" s="68" t="s">
        <v>459</v>
      </c>
      <c r="C42" s="68" t="s">
        <v>460</v>
      </c>
      <c r="D42" s="225">
        <v>1</v>
      </c>
      <c r="E42" s="225">
        <v>16117</v>
      </c>
      <c r="F42" s="225">
        <v>28</v>
      </c>
      <c r="G42" s="225">
        <f t="shared" si="0"/>
        <v>14505</v>
      </c>
      <c r="H42">
        <v>11604</v>
      </c>
    </row>
    <row r="43" spans="2:8" x14ac:dyDescent="0.3">
      <c r="B43" s="68" t="s">
        <v>461</v>
      </c>
      <c r="C43" s="68" t="s">
        <v>462</v>
      </c>
      <c r="D43" s="225">
        <v>1</v>
      </c>
      <c r="E43" s="225">
        <v>19360</v>
      </c>
      <c r="F43" s="225">
        <v>28</v>
      </c>
      <c r="G43" s="225">
        <f t="shared" si="0"/>
        <v>17423.75</v>
      </c>
      <c r="H43">
        <v>13939</v>
      </c>
    </row>
    <row r="44" spans="2:8" x14ac:dyDescent="0.3">
      <c r="B44" s="68" t="s">
        <v>463</v>
      </c>
      <c r="C44" s="68" t="s">
        <v>464</v>
      </c>
      <c r="D44" s="225">
        <v>1</v>
      </c>
      <c r="E44" s="225">
        <v>300</v>
      </c>
      <c r="F44" s="225">
        <v>28</v>
      </c>
      <c r="G44" s="225">
        <f t="shared" si="0"/>
        <v>270</v>
      </c>
      <c r="H44">
        <v>216</v>
      </c>
    </row>
    <row r="45" spans="2:8" x14ac:dyDescent="0.3">
      <c r="B45" s="68" t="s">
        <v>465</v>
      </c>
      <c r="C45" s="68" t="s">
        <v>466</v>
      </c>
      <c r="D45" s="225">
        <v>1</v>
      </c>
      <c r="E45" s="225">
        <v>202</v>
      </c>
      <c r="F45" s="225">
        <v>28</v>
      </c>
      <c r="G45" s="225">
        <f t="shared" si="0"/>
        <v>181.25</v>
      </c>
      <c r="H45">
        <v>145</v>
      </c>
    </row>
    <row r="46" spans="2:8" x14ac:dyDescent="0.3">
      <c r="B46" s="68" t="s">
        <v>467</v>
      </c>
      <c r="C46" s="68" t="s">
        <v>468</v>
      </c>
      <c r="D46" s="225">
        <v>1</v>
      </c>
      <c r="E46" s="225">
        <v>487</v>
      </c>
      <c r="F46" s="225">
        <v>28</v>
      </c>
      <c r="G46" s="225">
        <f t="shared" si="0"/>
        <v>438.75</v>
      </c>
      <c r="H46">
        <v>351</v>
      </c>
    </row>
    <row r="47" spans="2:8" x14ac:dyDescent="0.3">
      <c r="B47" s="68" t="s">
        <v>469</v>
      </c>
      <c r="C47" s="227" t="s">
        <v>470</v>
      </c>
      <c r="D47" s="225">
        <v>1</v>
      </c>
      <c r="E47" s="225">
        <v>2.36</v>
      </c>
      <c r="F47" s="225">
        <v>28</v>
      </c>
      <c r="G47" s="225">
        <f t="shared" si="0"/>
        <v>2002.5</v>
      </c>
      <c r="H47">
        <v>1602</v>
      </c>
    </row>
    <row r="48" spans="2:8" x14ac:dyDescent="0.3">
      <c r="B48" s="68" t="s">
        <v>471</v>
      </c>
      <c r="C48" s="227" t="s">
        <v>472</v>
      </c>
      <c r="D48" s="225">
        <v>1</v>
      </c>
      <c r="E48" s="225">
        <v>6.47</v>
      </c>
      <c r="F48" s="225">
        <v>28</v>
      </c>
      <c r="G48" s="225">
        <f t="shared" si="0"/>
        <v>5488.75</v>
      </c>
      <c r="H48">
        <v>4391</v>
      </c>
    </row>
    <row r="49" spans="2:8" x14ac:dyDescent="0.3">
      <c r="B49" s="68" t="s">
        <v>473</v>
      </c>
      <c r="C49" s="227" t="s">
        <v>474</v>
      </c>
      <c r="D49" s="225">
        <v>1</v>
      </c>
      <c r="E49" s="225">
        <v>40.049999999999997</v>
      </c>
      <c r="F49" s="225">
        <v>28</v>
      </c>
      <c r="G49" s="225">
        <f t="shared" si="0"/>
        <v>33970</v>
      </c>
      <c r="H49">
        <v>27176</v>
      </c>
    </row>
    <row r="50" spans="2:8" x14ac:dyDescent="0.3">
      <c r="B50" s="68" t="s">
        <v>475</v>
      </c>
      <c r="C50" s="68" t="s">
        <v>476</v>
      </c>
      <c r="D50" s="225">
        <v>1</v>
      </c>
      <c r="E50" s="225">
        <v>6.47</v>
      </c>
      <c r="F50" s="225">
        <v>28</v>
      </c>
      <c r="G50" s="225">
        <f t="shared" si="0"/>
        <v>5488.75</v>
      </c>
      <c r="H50">
        <v>4391</v>
      </c>
    </row>
    <row r="51" spans="2:8" x14ac:dyDescent="0.3">
      <c r="B51" s="68" t="s">
        <v>477</v>
      </c>
      <c r="C51" s="68" t="s">
        <v>478</v>
      </c>
      <c r="D51" s="225">
        <v>1</v>
      </c>
      <c r="E51" s="225">
        <v>1791</v>
      </c>
      <c r="F51" s="225">
        <v>28</v>
      </c>
      <c r="G51" s="225">
        <f t="shared" si="0"/>
        <v>1612.5</v>
      </c>
      <c r="H51">
        <v>1290</v>
      </c>
    </row>
    <row r="52" spans="2:8" x14ac:dyDescent="0.3">
      <c r="B52" s="68" t="s">
        <v>479</v>
      </c>
      <c r="C52" s="68" t="s">
        <v>480</v>
      </c>
      <c r="D52" s="225">
        <v>1</v>
      </c>
      <c r="E52" s="225">
        <v>481.77</v>
      </c>
      <c r="F52" s="225">
        <v>28</v>
      </c>
      <c r="G52" s="225">
        <f t="shared" si="0"/>
        <v>408573.75</v>
      </c>
      <c r="H52">
        <v>326859</v>
      </c>
    </row>
    <row r="53" spans="2:8" x14ac:dyDescent="0.3">
      <c r="B53" s="68" t="s">
        <v>481</v>
      </c>
      <c r="C53" s="68" t="s">
        <v>482</v>
      </c>
      <c r="D53" s="225">
        <v>1</v>
      </c>
      <c r="E53" s="225">
        <v>67.75</v>
      </c>
      <c r="F53" s="225">
        <v>28</v>
      </c>
      <c r="G53" s="225">
        <f t="shared" si="0"/>
        <v>57457.5</v>
      </c>
      <c r="H53">
        <v>45966</v>
      </c>
    </row>
    <row r="54" spans="2:8" x14ac:dyDescent="0.3">
      <c r="B54" s="68" t="s">
        <v>483</v>
      </c>
      <c r="C54" s="68" t="s">
        <v>484</v>
      </c>
      <c r="D54" s="225">
        <v>1</v>
      </c>
      <c r="E54" s="225">
        <v>10.85</v>
      </c>
      <c r="F54" s="225">
        <v>28</v>
      </c>
      <c r="G54" s="225">
        <f t="shared" si="0"/>
        <v>9198.75</v>
      </c>
      <c r="H54">
        <v>7359</v>
      </c>
    </row>
    <row r="55" spans="2:8" x14ac:dyDescent="0.3">
      <c r="B55" s="68" t="s">
        <v>485</v>
      </c>
      <c r="C55" s="68" t="s">
        <v>486</v>
      </c>
      <c r="D55" s="225">
        <v>1</v>
      </c>
      <c r="E55" s="225">
        <v>10.85</v>
      </c>
      <c r="F55" s="225">
        <v>28</v>
      </c>
      <c r="G55" s="225">
        <f t="shared" si="0"/>
        <v>9198.75</v>
      </c>
      <c r="H55">
        <v>7359</v>
      </c>
    </row>
    <row r="56" spans="2:8" x14ac:dyDescent="0.3">
      <c r="B56" s="68" t="s">
        <v>487</v>
      </c>
      <c r="C56" s="68" t="s">
        <v>488</v>
      </c>
      <c r="D56" s="225">
        <v>1</v>
      </c>
      <c r="E56" s="225">
        <v>12.08</v>
      </c>
      <c r="F56" s="225">
        <v>28</v>
      </c>
      <c r="G56" s="225">
        <f t="shared" si="0"/>
        <v>10247.5</v>
      </c>
      <c r="H56">
        <v>8198</v>
      </c>
    </row>
    <row r="57" spans="2:8" x14ac:dyDescent="0.3">
      <c r="B57" s="68" t="s">
        <v>489</v>
      </c>
      <c r="C57" s="68" t="s">
        <v>490</v>
      </c>
      <c r="D57" s="225">
        <v>1</v>
      </c>
      <c r="E57" s="225">
        <v>13.92</v>
      </c>
      <c r="F57" s="225">
        <v>28</v>
      </c>
      <c r="G57" s="225">
        <f t="shared" si="0"/>
        <v>11802.5</v>
      </c>
      <c r="H57">
        <v>9442</v>
      </c>
    </row>
    <row r="58" spans="2:8" x14ac:dyDescent="0.3">
      <c r="B58" s="68" t="s">
        <v>491</v>
      </c>
      <c r="C58" s="68" t="s">
        <v>492</v>
      </c>
      <c r="D58" s="225">
        <v>1</v>
      </c>
      <c r="E58" s="225">
        <v>17.7</v>
      </c>
      <c r="F58" s="225">
        <v>28</v>
      </c>
      <c r="G58" s="225">
        <f t="shared" si="0"/>
        <v>15006.25</v>
      </c>
      <c r="H58">
        <v>12005</v>
      </c>
    </row>
    <row r="59" spans="2:8" x14ac:dyDescent="0.3">
      <c r="B59" s="68" t="s">
        <v>493</v>
      </c>
      <c r="C59" s="68" t="s">
        <v>494</v>
      </c>
      <c r="D59" s="225">
        <v>1</v>
      </c>
      <c r="E59" s="225">
        <v>25.74</v>
      </c>
      <c r="F59" s="225">
        <v>28</v>
      </c>
      <c r="G59" s="225">
        <f t="shared" si="0"/>
        <v>21826.25</v>
      </c>
      <c r="H59">
        <v>17461</v>
      </c>
    </row>
    <row r="60" spans="2:8" x14ac:dyDescent="0.3">
      <c r="B60" s="68" t="s">
        <v>495</v>
      </c>
      <c r="C60" s="68" t="s">
        <v>496</v>
      </c>
      <c r="D60" s="225">
        <v>1</v>
      </c>
      <c r="E60" s="225">
        <v>9.1</v>
      </c>
      <c r="F60" s="225">
        <v>28</v>
      </c>
      <c r="G60" s="225">
        <f t="shared" si="0"/>
        <v>7715</v>
      </c>
      <c r="H60">
        <v>6172</v>
      </c>
    </row>
    <row r="61" spans="2:8" x14ac:dyDescent="0.3">
      <c r="B61" s="68" t="s">
        <v>497</v>
      </c>
      <c r="C61" s="68" t="s">
        <v>498</v>
      </c>
      <c r="D61" s="225">
        <v>1</v>
      </c>
      <c r="E61" s="225">
        <v>10.86</v>
      </c>
      <c r="F61" s="225">
        <v>28</v>
      </c>
      <c r="G61" s="225">
        <f t="shared" si="0"/>
        <v>9211.25</v>
      </c>
      <c r="H61">
        <v>7369</v>
      </c>
    </row>
    <row r="62" spans="2:8" x14ac:dyDescent="0.3">
      <c r="B62" s="68" t="s">
        <v>499</v>
      </c>
      <c r="C62" s="68" t="s">
        <v>500</v>
      </c>
      <c r="D62" s="225">
        <v>1</v>
      </c>
      <c r="E62" s="225">
        <v>5.44</v>
      </c>
      <c r="F62" s="225">
        <v>28</v>
      </c>
      <c r="G62" s="225">
        <f t="shared" si="0"/>
        <v>4617.5</v>
      </c>
      <c r="H62">
        <v>3694</v>
      </c>
    </row>
    <row r="63" spans="2:8" x14ac:dyDescent="0.3">
      <c r="B63" s="68" t="s">
        <v>501</v>
      </c>
      <c r="C63" s="227" t="s">
        <v>502</v>
      </c>
      <c r="D63" s="225">
        <v>1</v>
      </c>
      <c r="E63" s="225">
        <v>5.75</v>
      </c>
      <c r="F63" s="225">
        <v>28</v>
      </c>
      <c r="G63" s="225">
        <f t="shared" si="0"/>
        <v>4876.25</v>
      </c>
      <c r="H63">
        <v>3901</v>
      </c>
    </row>
    <row r="64" spans="2:8" x14ac:dyDescent="0.3">
      <c r="B64" s="68" t="s">
        <v>503</v>
      </c>
      <c r="C64" s="227" t="s">
        <v>504</v>
      </c>
      <c r="D64" s="228">
        <v>1</v>
      </c>
      <c r="E64" s="228">
        <v>0.3</v>
      </c>
      <c r="F64" s="228">
        <v>28</v>
      </c>
      <c r="G64" s="225">
        <f t="shared" si="0"/>
        <v>258.75</v>
      </c>
      <c r="H64">
        <v>207</v>
      </c>
    </row>
    <row r="65" spans="2:8" x14ac:dyDescent="0.3">
      <c r="B65" s="68" t="s">
        <v>505</v>
      </c>
      <c r="C65" s="227" t="s">
        <v>506</v>
      </c>
      <c r="D65" s="228">
        <v>1</v>
      </c>
      <c r="E65" s="228">
        <v>0.48</v>
      </c>
      <c r="F65" s="228">
        <v>28</v>
      </c>
      <c r="G65" s="225">
        <f t="shared" si="0"/>
        <v>412.5</v>
      </c>
      <c r="H65">
        <v>330</v>
      </c>
    </row>
    <row r="66" spans="2:8" x14ac:dyDescent="0.3">
      <c r="B66" s="68" t="s">
        <v>507</v>
      </c>
      <c r="C66" s="227" t="s">
        <v>508</v>
      </c>
      <c r="D66" s="228">
        <v>1</v>
      </c>
      <c r="E66" s="228">
        <v>569</v>
      </c>
      <c r="F66" s="228">
        <v>28</v>
      </c>
      <c r="G66" s="225">
        <f t="shared" si="0"/>
        <v>512.5</v>
      </c>
      <c r="H66">
        <v>410</v>
      </c>
    </row>
    <row r="67" spans="2:8" x14ac:dyDescent="0.3">
      <c r="B67" s="68" t="s">
        <v>509</v>
      </c>
      <c r="C67" s="227" t="s">
        <v>510</v>
      </c>
      <c r="D67" s="228">
        <v>1</v>
      </c>
      <c r="E67" s="228">
        <v>0.46</v>
      </c>
      <c r="F67" s="228">
        <v>28</v>
      </c>
      <c r="G67" s="225">
        <f t="shared" si="0"/>
        <v>388.75</v>
      </c>
      <c r="H67">
        <v>311</v>
      </c>
    </row>
    <row r="68" spans="2:8" x14ac:dyDescent="0.3">
      <c r="B68" s="68" t="s">
        <v>511</v>
      </c>
      <c r="C68" s="227" t="s">
        <v>512</v>
      </c>
      <c r="D68" s="228">
        <v>1</v>
      </c>
      <c r="E68" s="228">
        <v>3127</v>
      </c>
      <c r="F68" s="228">
        <v>28</v>
      </c>
      <c r="G68" s="225">
        <f t="shared" si="0"/>
        <v>2813.75</v>
      </c>
      <c r="H68">
        <v>2251</v>
      </c>
    </row>
    <row r="69" spans="2:8" x14ac:dyDescent="0.3">
      <c r="B69" s="68" t="s">
        <v>513</v>
      </c>
      <c r="C69" s="229" t="s">
        <v>514</v>
      </c>
      <c r="D69" s="230">
        <v>1</v>
      </c>
      <c r="E69" s="230">
        <v>372</v>
      </c>
      <c r="F69" s="230">
        <v>28</v>
      </c>
      <c r="G69" s="225">
        <f t="shared" si="0"/>
        <v>335</v>
      </c>
      <c r="H69">
        <v>268</v>
      </c>
    </row>
    <row r="70" spans="2:8" x14ac:dyDescent="0.3">
      <c r="B70" s="68" t="s">
        <v>515</v>
      </c>
      <c r="C70" s="229" t="s">
        <v>516</v>
      </c>
      <c r="D70" s="230">
        <v>1</v>
      </c>
      <c r="E70" s="230">
        <v>523</v>
      </c>
      <c r="F70" s="230">
        <v>28</v>
      </c>
      <c r="G70" s="225">
        <f t="shared" si="0"/>
        <v>471.25</v>
      </c>
      <c r="H70">
        <v>377</v>
      </c>
    </row>
    <row r="71" spans="2:8" x14ac:dyDescent="0.3">
      <c r="B71" s="68" t="s">
        <v>517</v>
      </c>
      <c r="C71" s="229" t="s">
        <v>518</v>
      </c>
      <c r="D71" s="230">
        <v>1</v>
      </c>
      <c r="E71" s="230">
        <v>0.91</v>
      </c>
      <c r="F71" s="230">
        <v>28</v>
      </c>
      <c r="G71" s="225">
        <f t="shared" ref="G71:G134" si="1">H71*1.25</f>
        <v>777.5</v>
      </c>
      <c r="H71">
        <v>622</v>
      </c>
    </row>
    <row r="72" spans="2:8" x14ac:dyDescent="0.3">
      <c r="B72" s="68" t="s">
        <v>519</v>
      </c>
      <c r="C72" s="229" t="s">
        <v>520</v>
      </c>
      <c r="D72" s="230">
        <v>1</v>
      </c>
      <c r="E72" s="230">
        <v>485</v>
      </c>
      <c r="F72" s="230">
        <v>28</v>
      </c>
      <c r="G72" s="225">
        <f t="shared" si="1"/>
        <v>436.25</v>
      </c>
      <c r="H72">
        <v>349</v>
      </c>
    </row>
    <row r="73" spans="2:8" x14ac:dyDescent="0.3">
      <c r="B73" s="68" t="s">
        <v>521</v>
      </c>
      <c r="C73" s="229" t="s">
        <v>522</v>
      </c>
      <c r="D73" s="230">
        <v>1</v>
      </c>
      <c r="E73" s="230">
        <v>3998</v>
      </c>
      <c r="F73" s="230">
        <v>28</v>
      </c>
      <c r="G73" s="225">
        <f t="shared" si="1"/>
        <v>3598.75</v>
      </c>
      <c r="H73">
        <v>2879</v>
      </c>
    </row>
    <row r="74" spans="2:8" x14ac:dyDescent="0.3">
      <c r="B74" s="68" t="s">
        <v>523</v>
      </c>
      <c r="C74" s="68" t="s">
        <v>524</v>
      </c>
      <c r="D74" s="225">
        <v>1</v>
      </c>
      <c r="E74" s="225">
        <v>1619</v>
      </c>
      <c r="F74" s="225">
        <v>28</v>
      </c>
      <c r="G74" s="225">
        <f t="shared" si="1"/>
        <v>1457.5</v>
      </c>
      <c r="H74">
        <v>1166</v>
      </c>
    </row>
    <row r="75" spans="2:8" x14ac:dyDescent="0.3">
      <c r="B75" s="68" t="s">
        <v>525</v>
      </c>
      <c r="C75" s="68" t="s">
        <v>526</v>
      </c>
      <c r="D75" s="225">
        <v>1</v>
      </c>
      <c r="E75" s="225">
        <v>1962</v>
      </c>
      <c r="F75" s="225">
        <v>28</v>
      </c>
      <c r="G75" s="225">
        <f t="shared" si="1"/>
        <v>1766.25</v>
      </c>
      <c r="H75">
        <v>1413</v>
      </c>
    </row>
    <row r="76" spans="2:8" x14ac:dyDescent="0.3">
      <c r="B76" s="68" t="s">
        <v>527</v>
      </c>
      <c r="C76" s="227" t="s">
        <v>528</v>
      </c>
      <c r="D76" s="225">
        <v>1</v>
      </c>
      <c r="E76" s="225">
        <v>26219</v>
      </c>
      <c r="F76" s="225">
        <v>28</v>
      </c>
      <c r="G76" s="225">
        <f t="shared" si="1"/>
        <v>23597.5</v>
      </c>
      <c r="H76">
        <v>18878</v>
      </c>
    </row>
    <row r="77" spans="2:8" x14ac:dyDescent="0.3">
      <c r="B77" s="68" t="s">
        <v>529</v>
      </c>
      <c r="C77" s="68" t="s">
        <v>530</v>
      </c>
      <c r="D77" s="225">
        <v>1</v>
      </c>
      <c r="E77" s="225">
        <v>1.07</v>
      </c>
      <c r="F77" s="225">
        <v>28</v>
      </c>
      <c r="G77" s="225">
        <f t="shared" si="1"/>
        <v>907.5</v>
      </c>
      <c r="H77">
        <v>726</v>
      </c>
    </row>
    <row r="78" spans="2:8" x14ac:dyDescent="0.3">
      <c r="B78" s="68" t="s">
        <v>531</v>
      </c>
      <c r="C78" s="227" t="s">
        <v>532</v>
      </c>
      <c r="D78" s="225">
        <v>1</v>
      </c>
      <c r="E78" s="225">
        <v>31151</v>
      </c>
      <c r="F78" s="225">
        <v>28</v>
      </c>
      <c r="G78" s="225">
        <f t="shared" si="1"/>
        <v>28036.25</v>
      </c>
      <c r="H78">
        <v>22429</v>
      </c>
    </row>
    <row r="79" spans="2:8" x14ac:dyDescent="0.3">
      <c r="B79" s="68" t="s">
        <v>533</v>
      </c>
      <c r="C79" s="68" t="s">
        <v>534</v>
      </c>
      <c r="D79" s="225">
        <v>1</v>
      </c>
      <c r="E79" s="225">
        <v>1244</v>
      </c>
      <c r="F79" s="225">
        <v>28</v>
      </c>
      <c r="G79" s="225">
        <f t="shared" si="1"/>
        <v>1120</v>
      </c>
      <c r="H79">
        <v>896</v>
      </c>
    </row>
    <row r="80" spans="2:8" x14ac:dyDescent="0.3">
      <c r="B80" s="68" t="s">
        <v>535</v>
      </c>
      <c r="C80" s="227" t="s">
        <v>536</v>
      </c>
      <c r="D80" s="228">
        <v>1</v>
      </c>
      <c r="E80" s="228">
        <v>6141</v>
      </c>
      <c r="F80" s="228">
        <v>28</v>
      </c>
      <c r="G80" s="225">
        <f t="shared" si="1"/>
        <v>5527.5</v>
      </c>
      <c r="H80">
        <v>4422</v>
      </c>
    </row>
    <row r="81" spans="2:8" x14ac:dyDescent="0.3">
      <c r="B81" s="68" t="s">
        <v>537</v>
      </c>
      <c r="C81" s="227" t="s">
        <v>538</v>
      </c>
      <c r="D81" s="228">
        <v>1</v>
      </c>
      <c r="E81" s="228">
        <v>3.28</v>
      </c>
      <c r="F81" s="228">
        <v>28</v>
      </c>
      <c r="G81" s="225">
        <f t="shared" si="1"/>
        <v>2780</v>
      </c>
      <c r="H81">
        <v>2224</v>
      </c>
    </row>
    <row r="82" spans="2:8" x14ac:dyDescent="0.3">
      <c r="B82" s="68" t="s">
        <v>539</v>
      </c>
      <c r="C82" s="227" t="s">
        <v>540</v>
      </c>
      <c r="D82" s="228">
        <v>1</v>
      </c>
      <c r="E82" s="228">
        <v>5.25</v>
      </c>
      <c r="F82" s="228">
        <v>28</v>
      </c>
      <c r="G82" s="225">
        <f t="shared" si="1"/>
        <v>4452.5</v>
      </c>
      <c r="H82">
        <v>3562</v>
      </c>
    </row>
    <row r="83" spans="2:8" x14ac:dyDescent="0.3">
      <c r="B83" s="68" t="s">
        <v>541</v>
      </c>
      <c r="C83" s="227" t="s">
        <v>542</v>
      </c>
      <c r="D83" s="228">
        <v>2</v>
      </c>
      <c r="E83" s="228">
        <v>8.84</v>
      </c>
      <c r="F83" s="228">
        <v>28</v>
      </c>
      <c r="G83" s="225">
        <f t="shared" si="1"/>
        <v>14995</v>
      </c>
      <c r="H83">
        <v>11996</v>
      </c>
    </row>
    <row r="84" spans="2:8" x14ac:dyDescent="0.3">
      <c r="B84" s="68" t="s">
        <v>543</v>
      </c>
      <c r="C84" s="227" t="s">
        <v>544</v>
      </c>
      <c r="D84" s="228">
        <v>1</v>
      </c>
      <c r="E84" s="228">
        <v>5415</v>
      </c>
      <c r="F84" s="228">
        <v>28</v>
      </c>
      <c r="G84" s="225">
        <f t="shared" si="1"/>
        <v>4873.75</v>
      </c>
      <c r="H84">
        <v>3899</v>
      </c>
    </row>
    <row r="85" spans="2:8" x14ac:dyDescent="0.3">
      <c r="B85" s="68" t="s">
        <v>545</v>
      </c>
      <c r="C85" s="68" t="s">
        <v>546</v>
      </c>
      <c r="D85" s="225">
        <v>2</v>
      </c>
      <c r="E85" s="225">
        <v>1.89</v>
      </c>
      <c r="F85" s="225">
        <v>28</v>
      </c>
      <c r="G85" s="225">
        <f t="shared" si="1"/>
        <v>3203.75</v>
      </c>
      <c r="H85">
        <v>2563</v>
      </c>
    </row>
    <row r="86" spans="2:8" x14ac:dyDescent="0.3">
      <c r="B86" s="68" t="s">
        <v>547</v>
      </c>
      <c r="C86" s="227" t="s">
        <v>548</v>
      </c>
      <c r="D86" s="228">
        <v>1</v>
      </c>
      <c r="E86" s="228">
        <v>2.4900000000000002</v>
      </c>
      <c r="F86" s="228">
        <v>28</v>
      </c>
      <c r="G86" s="225">
        <f t="shared" si="1"/>
        <v>2108.75</v>
      </c>
      <c r="H86">
        <v>1687</v>
      </c>
    </row>
    <row r="87" spans="2:8" x14ac:dyDescent="0.3">
      <c r="B87" s="68" t="s">
        <v>549</v>
      </c>
      <c r="C87" s="227" t="s">
        <v>550</v>
      </c>
      <c r="D87" s="228">
        <v>1</v>
      </c>
      <c r="E87" s="228">
        <v>998</v>
      </c>
      <c r="F87" s="228">
        <v>28</v>
      </c>
      <c r="G87" s="225">
        <f t="shared" si="1"/>
        <v>898.75</v>
      </c>
      <c r="H87">
        <v>719</v>
      </c>
    </row>
    <row r="88" spans="2:8" x14ac:dyDescent="0.3">
      <c r="B88" s="68" t="s">
        <v>551</v>
      </c>
      <c r="C88" s="227" t="s">
        <v>552</v>
      </c>
      <c r="D88" s="225">
        <v>2</v>
      </c>
      <c r="E88" s="225">
        <v>2.4300000000000002</v>
      </c>
      <c r="F88" s="225">
        <v>28</v>
      </c>
      <c r="G88" s="225">
        <f t="shared" si="1"/>
        <v>4122.5</v>
      </c>
      <c r="H88">
        <v>3298</v>
      </c>
    </row>
    <row r="89" spans="2:8" x14ac:dyDescent="0.3">
      <c r="B89" s="68" t="s">
        <v>553</v>
      </c>
      <c r="C89" s="227" t="s">
        <v>554</v>
      </c>
      <c r="D89" s="225">
        <v>1</v>
      </c>
      <c r="E89" s="225">
        <v>0.62</v>
      </c>
      <c r="F89" s="225">
        <v>28</v>
      </c>
      <c r="G89" s="225">
        <f t="shared" si="1"/>
        <v>530</v>
      </c>
      <c r="H89">
        <v>424</v>
      </c>
    </row>
    <row r="90" spans="2:8" x14ac:dyDescent="0.3">
      <c r="B90" s="68" t="s">
        <v>555</v>
      </c>
      <c r="C90" s="227" t="s">
        <v>556</v>
      </c>
      <c r="D90" s="225">
        <v>1</v>
      </c>
      <c r="E90" s="225">
        <v>503</v>
      </c>
      <c r="F90" s="225">
        <v>28</v>
      </c>
      <c r="G90" s="225">
        <f t="shared" si="1"/>
        <v>452.5</v>
      </c>
      <c r="H90">
        <v>362</v>
      </c>
    </row>
    <row r="91" spans="2:8" x14ac:dyDescent="0.3">
      <c r="B91" s="68" t="s">
        <v>557</v>
      </c>
      <c r="C91" s="227" t="s">
        <v>558</v>
      </c>
      <c r="D91" s="225">
        <v>1</v>
      </c>
      <c r="E91" s="225">
        <v>0.75</v>
      </c>
      <c r="F91" s="225">
        <v>28</v>
      </c>
      <c r="G91" s="225">
        <f t="shared" si="1"/>
        <v>636.25</v>
      </c>
      <c r="H91">
        <v>509</v>
      </c>
    </row>
    <row r="92" spans="2:8" x14ac:dyDescent="0.3">
      <c r="B92" s="68" t="s">
        <v>559</v>
      </c>
      <c r="C92" s="227" t="s">
        <v>560</v>
      </c>
      <c r="D92" s="225">
        <v>1</v>
      </c>
      <c r="E92" s="225">
        <v>0.86</v>
      </c>
      <c r="F92" s="225">
        <v>28</v>
      </c>
      <c r="G92" s="225">
        <f t="shared" si="1"/>
        <v>730</v>
      </c>
      <c r="H92">
        <v>584</v>
      </c>
    </row>
    <row r="93" spans="2:8" x14ac:dyDescent="0.3">
      <c r="B93" s="68" t="s">
        <v>561</v>
      </c>
      <c r="C93" s="227" t="s">
        <v>562</v>
      </c>
      <c r="D93" s="225">
        <v>1</v>
      </c>
      <c r="E93" s="225">
        <v>0.61</v>
      </c>
      <c r="F93" s="225">
        <v>28</v>
      </c>
      <c r="G93" s="225">
        <f t="shared" si="1"/>
        <v>518.75</v>
      </c>
      <c r="H93">
        <v>415</v>
      </c>
    </row>
    <row r="94" spans="2:8" x14ac:dyDescent="0.3">
      <c r="B94" s="68" t="s">
        <v>563</v>
      </c>
      <c r="C94" s="68" t="s">
        <v>564</v>
      </c>
      <c r="D94" s="225">
        <v>2</v>
      </c>
      <c r="E94" s="225">
        <v>0.66</v>
      </c>
      <c r="F94" s="225">
        <v>28</v>
      </c>
      <c r="G94" s="225">
        <f t="shared" si="1"/>
        <v>1118.75</v>
      </c>
      <c r="H94">
        <v>895</v>
      </c>
    </row>
    <row r="95" spans="2:8" x14ac:dyDescent="0.3">
      <c r="B95" s="68" t="s">
        <v>565</v>
      </c>
      <c r="C95" s="68" t="s">
        <v>566</v>
      </c>
      <c r="D95" s="225">
        <v>1</v>
      </c>
      <c r="E95" s="225">
        <v>332</v>
      </c>
      <c r="F95" s="225">
        <v>28</v>
      </c>
      <c r="G95" s="225">
        <f t="shared" si="1"/>
        <v>298.75</v>
      </c>
      <c r="H95">
        <v>239</v>
      </c>
    </row>
    <row r="96" spans="2:8" x14ac:dyDescent="0.3">
      <c r="B96" s="68" t="s">
        <v>567</v>
      </c>
      <c r="C96" s="68" t="s">
        <v>568</v>
      </c>
      <c r="D96" s="225">
        <v>1</v>
      </c>
      <c r="E96" s="225">
        <v>452</v>
      </c>
      <c r="F96" s="225">
        <v>28</v>
      </c>
      <c r="G96" s="225">
        <f t="shared" si="1"/>
        <v>406.25</v>
      </c>
      <c r="H96">
        <v>325</v>
      </c>
    </row>
    <row r="97" spans="2:8" x14ac:dyDescent="0.3">
      <c r="B97" s="68" t="s">
        <v>569</v>
      </c>
      <c r="C97" s="68" t="s">
        <v>570</v>
      </c>
      <c r="D97" s="225">
        <v>1</v>
      </c>
      <c r="E97" s="225">
        <v>346</v>
      </c>
      <c r="F97" s="225">
        <v>28</v>
      </c>
      <c r="G97" s="225">
        <f t="shared" si="1"/>
        <v>311.25</v>
      </c>
      <c r="H97">
        <v>249</v>
      </c>
    </row>
    <row r="98" spans="2:8" x14ac:dyDescent="0.3">
      <c r="B98" s="68" t="s">
        <v>571</v>
      </c>
      <c r="C98" s="68" t="s">
        <v>572</v>
      </c>
      <c r="D98" s="225">
        <v>1</v>
      </c>
      <c r="E98" s="225">
        <v>468</v>
      </c>
      <c r="F98" s="225">
        <v>28</v>
      </c>
      <c r="G98" s="225">
        <f t="shared" si="1"/>
        <v>421.25</v>
      </c>
      <c r="H98">
        <v>337</v>
      </c>
    </row>
    <row r="99" spans="2:8" x14ac:dyDescent="0.3">
      <c r="B99" s="68" t="s">
        <v>573</v>
      </c>
      <c r="C99" s="68" t="s">
        <v>574</v>
      </c>
      <c r="D99" s="225">
        <v>1</v>
      </c>
      <c r="E99" s="225">
        <v>346</v>
      </c>
      <c r="F99" s="225">
        <v>28</v>
      </c>
      <c r="G99" s="225">
        <f t="shared" si="1"/>
        <v>311.25</v>
      </c>
      <c r="H99">
        <v>249</v>
      </c>
    </row>
    <row r="100" spans="2:8" x14ac:dyDescent="0.3">
      <c r="B100" s="68" t="s">
        <v>575</v>
      </c>
      <c r="C100" s="68" t="s">
        <v>576</v>
      </c>
      <c r="D100" s="225">
        <v>1</v>
      </c>
      <c r="E100" s="225">
        <v>168.81</v>
      </c>
      <c r="F100" s="225">
        <v>28</v>
      </c>
      <c r="G100" s="225">
        <f t="shared" si="1"/>
        <v>143160</v>
      </c>
      <c r="H100">
        <v>114528</v>
      </c>
    </row>
    <row r="101" spans="2:8" x14ac:dyDescent="0.3">
      <c r="B101" s="68" t="s">
        <v>577</v>
      </c>
      <c r="C101" s="227" t="s">
        <v>578</v>
      </c>
      <c r="D101" s="225">
        <v>1</v>
      </c>
      <c r="E101" s="225">
        <v>25.99</v>
      </c>
      <c r="F101" s="225">
        <v>28</v>
      </c>
      <c r="G101" s="225">
        <f t="shared" si="1"/>
        <v>22038.75</v>
      </c>
      <c r="H101">
        <v>17631</v>
      </c>
    </row>
    <row r="102" spans="2:8" x14ac:dyDescent="0.3">
      <c r="B102" s="68" t="s">
        <v>579</v>
      </c>
      <c r="C102" s="227" t="s">
        <v>580</v>
      </c>
      <c r="D102" s="225">
        <v>1</v>
      </c>
      <c r="E102" s="225">
        <v>1.1299999999999999</v>
      </c>
      <c r="F102" s="225">
        <v>28</v>
      </c>
      <c r="G102" s="225">
        <f t="shared" si="1"/>
        <v>953.75</v>
      </c>
      <c r="H102">
        <v>763</v>
      </c>
    </row>
    <row r="103" spans="2:8" x14ac:dyDescent="0.3">
      <c r="B103" s="68" t="s">
        <v>581</v>
      </c>
      <c r="C103" s="227" t="s">
        <v>582</v>
      </c>
      <c r="D103" s="225">
        <v>1</v>
      </c>
      <c r="E103" s="225">
        <v>2.0699999999999998</v>
      </c>
      <c r="F103" s="225">
        <v>28</v>
      </c>
      <c r="G103" s="225">
        <f t="shared" si="1"/>
        <v>1755</v>
      </c>
      <c r="H103">
        <v>1404</v>
      </c>
    </row>
    <row r="104" spans="2:8" x14ac:dyDescent="0.3">
      <c r="B104" s="68" t="s">
        <v>583</v>
      </c>
      <c r="C104" s="68" t="s">
        <v>584</v>
      </c>
      <c r="D104" s="225">
        <v>1</v>
      </c>
      <c r="E104" s="225">
        <v>3.36</v>
      </c>
      <c r="F104" s="225">
        <v>28</v>
      </c>
      <c r="G104" s="225">
        <f t="shared" si="1"/>
        <v>2850</v>
      </c>
      <c r="H104">
        <v>2280</v>
      </c>
    </row>
    <row r="105" spans="2:8" x14ac:dyDescent="0.3">
      <c r="B105" s="68" t="s">
        <v>585</v>
      </c>
      <c r="C105" s="68" t="s">
        <v>586</v>
      </c>
      <c r="D105" s="225">
        <v>1</v>
      </c>
      <c r="E105" s="225">
        <v>168.97</v>
      </c>
      <c r="F105" s="225">
        <v>28</v>
      </c>
      <c r="G105" s="225">
        <f t="shared" si="1"/>
        <v>143301.25</v>
      </c>
      <c r="H105">
        <v>114641</v>
      </c>
    </row>
    <row r="106" spans="2:8" x14ac:dyDescent="0.3">
      <c r="B106" s="68" t="s">
        <v>587</v>
      </c>
      <c r="C106" s="68" t="s">
        <v>588</v>
      </c>
      <c r="D106" s="225">
        <v>1</v>
      </c>
      <c r="E106" s="225">
        <v>56.82</v>
      </c>
      <c r="F106" s="225">
        <v>28</v>
      </c>
      <c r="G106" s="225">
        <f t="shared" si="1"/>
        <v>48187.5</v>
      </c>
      <c r="H106">
        <v>38550</v>
      </c>
    </row>
    <row r="107" spans="2:8" x14ac:dyDescent="0.3">
      <c r="B107" s="68" t="s">
        <v>589</v>
      </c>
      <c r="C107" s="68" t="s">
        <v>590</v>
      </c>
      <c r="D107" s="225">
        <v>50</v>
      </c>
      <c r="E107" s="225">
        <v>1.1399999999999999</v>
      </c>
      <c r="F107" s="225">
        <v>28</v>
      </c>
      <c r="G107" s="225">
        <f t="shared" si="1"/>
        <v>48340</v>
      </c>
      <c r="H107">
        <v>38672</v>
      </c>
    </row>
    <row r="108" spans="2:8" x14ac:dyDescent="0.3">
      <c r="B108" s="68" t="s">
        <v>591</v>
      </c>
      <c r="C108" s="227" t="s">
        <v>592</v>
      </c>
      <c r="D108" s="225">
        <v>1</v>
      </c>
      <c r="E108" s="225">
        <v>25.94</v>
      </c>
      <c r="F108" s="225">
        <v>28</v>
      </c>
      <c r="G108" s="225">
        <f t="shared" si="1"/>
        <v>22002.5</v>
      </c>
      <c r="H108">
        <v>17602</v>
      </c>
    </row>
    <row r="109" spans="2:8" x14ac:dyDescent="0.3">
      <c r="B109" s="68" t="s">
        <v>593</v>
      </c>
      <c r="C109" s="68" t="s">
        <v>594</v>
      </c>
      <c r="D109" s="225">
        <v>1</v>
      </c>
      <c r="E109" s="225">
        <v>14.05</v>
      </c>
      <c r="F109" s="225">
        <v>28</v>
      </c>
      <c r="G109" s="225">
        <f t="shared" si="1"/>
        <v>11920</v>
      </c>
      <c r="H109">
        <v>9536</v>
      </c>
    </row>
    <row r="110" spans="2:8" x14ac:dyDescent="0.3">
      <c r="B110" s="68" t="s">
        <v>595</v>
      </c>
      <c r="C110" s="68" t="s">
        <v>596</v>
      </c>
      <c r="D110" s="225">
        <v>1</v>
      </c>
      <c r="E110" s="225">
        <v>22.48</v>
      </c>
      <c r="F110" s="225">
        <v>28</v>
      </c>
      <c r="G110" s="225">
        <f t="shared" si="1"/>
        <v>19070</v>
      </c>
      <c r="H110">
        <v>15256</v>
      </c>
    </row>
    <row r="111" spans="2:8" x14ac:dyDescent="0.3">
      <c r="B111" s="68" t="s">
        <v>597</v>
      </c>
      <c r="C111" s="68" t="s">
        <v>598</v>
      </c>
      <c r="D111" s="225">
        <v>1</v>
      </c>
      <c r="E111" s="225">
        <v>4.6100000000000003</v>
      </c>
      <c r="F111" s="225">
        <v>28</v>
      </c>
      <c r="G111" s="225">
        <f t="shared" si="1"/>
        <v>3910</v>
      </c>
      <c r="H111">
        <v>3128</v>
      </c>
    </row>
    <row r="112" spans="2:8" x14ac:dyDescent="0.3">
      <c r="B112" s="68" t="s">
        <v>599</v>
      </c>
      <c r="C112" s="68" t="s">
        <v>600</v>
      </c>
      <c r="D112" s="225">
        <v>1</v>
      </c>
      <c r="E112" s="225">
        <v>15.81</v>
      </c>
      <c r="F112" s="225">
        <v>28</v>
      </c>
      <c r="G112" s="225">
        <f t="shared" si="1"/>
        <v>13403.75</v>
      </c>
      <c r="H112">
        <v>10723</v>
      </c>
    </row>
    <row r="113" spans="2:8" x14ac:dyDescent="0.3">
      <c r="B113" s="68" t="s">
        <v>601</v>
      </c>
      <c r="C113" s="227" t="s">
        <v>602</v>
      </c>
      <c r="D113" s="225">
        <v>1</v>
      </c>
      <c r="E113" s="225">
        <v>25732</v>
      </c>
      <c r="F113" s="225">
        <v>28</v>
      </c>
      <c r="G113" s="225">
        <f t="shared" si="1"/>
        <v>23158.75</v>
      </c>
      <c r="H113">
        <v>18527</v>
      </c>
    </row>
    <row r="114" spans="2:8" x14ac:dyDescent="0.3">
      <c r="B114" s="68" t="s">
        <v>603</v>
      </c>
      <c r="C114" s="68" t="s">
        <v>604</v>
      </c>
      <c r="D114" s="225">
        <v>1</v>
      </c>
      <c r="E114" s="225">
        <v>4629</v>
      </c>
      <c r="F114" s="225">
        <v>28</v>
      </c>
      <c r="G114" s="225">
        <f t="shared" si="1"/>
        <v>4166.25</v>
      </c>
      <c r="H114">
        <v>3333</v>
      </c>
    </row>
    <row r="115" spans="2:8" x14ac:dyDescent="0.3">
      <c r="B115" s="68" t="s">
        <v>605</v>
      </c>
      <c r="C115" s="227" t="s">
        <v>606</v>
      </c>
      <c r="D115" s="225">
        <v>1</v>
      </c>
      <c r="E115" s="225">
        <v>44501</v>
      </c>
      <c r="F115" s="225">
        <v>28</v>
      </c>
      <c r="G115" s="225">
        <f t="shared" si="1"/>
        <v>40051.25</v>
      </c>
      <c r="H115">
        <v>32041</v>
      </c>
    </row>
    <row r="116" spans="2:8" x14ac:dyDescent="0.3">
      <c r="B116" s="68" t="s">
        <v>607</v>
      </c>
      <c r="C116" s="227" t="s">
        <v>608</v>
      </c>
      <c r="D116" s="225">
        <v>1</v>
      </c>
      <c r="E116" s="225">
        <v>44501</v>
      </c>
      <c r="F116" s="225">
        <v>28</v>
      </c>
      <c r="G116" s="225">
        <f t="shared" si="1"/>
        <v>40051.25</v>
      </c>
      <c r="H116">
        <v>32041</v>
      </c>
    </row>
    <row r="117" spans="2:8" x14ac:dyDescent="0.3">
      <c r="B117" s="68" t="s">
        <v>609</v>
      </c>
      <c r="C117" s="227" t="s">
        <v>610</v>
      </c>
      <c r="D117" s="225">
        <v>1</v>
      </c>
      <c r="E117" s="225">
        <v>44501</v>
      </c>
      <c r="F117" s="225">
        <v>28</v>
      </c>
      <c r="G117" s="225">
        <f t="shared" si="1"/>
        <v>40051.25</v>
      </c>
      <c r="H117">
        <v>32041</v>
      </c>
    </row>
    <row r="118" spans="2:8" x14ac:dyDescent="0.3">
      <c r="B118" s="68" t="s">
        <v>611</v>
      </c>
      <c r="C118" s="227" t="s">
        <v>612</v>
      </c>
      <c r="D118" s="225">
        <v>1</v>
      </c>
      <c r="E118" s="225">
        <v>1301</v>
      </c>
      <c r="F118" s="225">
        <v>28</v>
      </c>
      <c r="G118" s="225">
        <f t="shared" si="1"/>
        <v>1171.25</v>
      </c>
      <c r="H118">
        <v>937</v>
      </c>
    </row>
    <row r="119" spans="2:8" x14ac:dyDescent="0.3">
      <c r="B119" s="68" t="s">
        <v>613</v>
      </c>
      <c r="C119" s="227" t="s">
        <v>614</v>
      </c>
      <c r="D119" s="225">
        <v>1</v>
      </c>
      <c r="E119" s="225">
        <v>2549</v>
      </c>
      <c r="F119" s="225">
        <v>28</v>
      </c>
      <c r="G119" s="225">
        <f t="shared" si="1"/>
        <v>2293.75</v>
      </c>
      <c r="H119">
        <v>1835</v>
      </c>
    </row>
    <row r="120" spans="2:8" x14ac:dyDescent="0.3">
      <c r="B120" s="68" t="s">
        <v>615</v>
      </c>
      <c r="C120" s="68" t="s">
        <v>616</v>
      </c>
      <c r="D120" s="225">
        <v>1</v>
      </c>
      <c r="E120" s="225">
        <v>6.04</v>
      </c>
      <c r="F120" s="225">
        <v>28</v>
      </c>
      <c r="G120" s="225">
        <f t="shared" si="1"/>
        <v>5123.75</v>
      </c>
      <c r="H120">
        <v>4099</v>
      </c>
    </row>
    <row r="121" spans="2:8" x14ac:dyDescent="0.3">
      <c r="B121" s="68" t="s">
        <v>617</v>
      </c>
      <c r="C121" s="68" t="s">
        <v>618</v>
      </c>
      <c r="D121" s="225">
        <v>1</v>
      </c>
      <c r="E121" s="225">
        <v>62</v>
      </c>
      <c r="F121" s="225">
        <v>28</v>
      </c>
      <c r="G121" s="225">
        <f t="shared" si="1"/>
        <v>56.25</v>
      </c>
      <c r="H121">
        <v>45</v>
      </c>
    </row>
    <row r="122" spans="2:8" x14ac:dyDescent="0.3">
      <c r="B122" s="68" t="s">
        <v>619</v>
      </c>
      <c r="C122" s="68" t="s">
        <v>620</v>
      </c>
      <c r="D122" s="225">
        <v>1</v>
      </c>
      <c r="E122" s="225">
        <v>188</v>
      </c>
      <c r="F122" s="225">
        <v>28</v>
      </c>
      <c r="G122" s="225">
        <f t="shared" si="1"/>
        <v>168.75</v>
      </c>
      <c r="H122">
        <v>135</v>
      </c>
    </row>
    <row r="123" spans="2:8" x14ac:dyDescent="0.3">
      <c r="B123" s="68" t="s">
        <v>621</v>
      </c>
      <c r="C123" s="227" t="s">
        <v>622</v>
      </c>
      <c r="D123" s="225">
        <v>1</v>
      </c>
      <c r="E123" s="225">
        <v>802</v>
      </c>
      <c r="F123" s="225">
        <v>28</v>
      </c>
      <c r="G123" s="225">
        <f t="shared" si="1"/>
        <v>721.25</v>
      </c>
      <c r="H123">
        <v>577</v>
      </c>
    </row>
    <row r="124" spans="2:8" x14ac:dyDescent="0.3">
      <c r="B124" s="68" t="s">
        <v>623</v>
      </c>
      <c r="C124" s="68" t="s">
        <v>624</v>
      </c>
      <c r="D124" s="225">
        <v>1</v>
      </c>
      <c r="E124" s="225">
        <v>84</v>
      </c>
      <c r="F124" s="225">
        <v>28</v>
      </c>
      <c r="G124" s="225">
        <f t="shared" si="1"/>
        <v>75</v>
      </c>
      <c r="H124">
        <v>60</v>
      </c>
    </row>
    <row r="125" spans="2:8" x14ac:dyDescent="0.3">
      <c r="B125" s="68" t="s">
        <v>625</v>
      </c>
      <c r="C125" s="68" t="s">
        <v>626</v>
      </c>
      <c r="D125" s="225">
        <v>1</v>
      </c>
      <c r="E125" s="225">
        <v>232</v>
      </c>
      <c r="F125" s="225">
        <v>28</v>
      </c>
      <c r="G125" s="225">
        <f t="shared" si="1"/>
        <v>208.75</v>
      </c>
      <c r="H125">
        <v>167</v>
      </c>
    </row>
    <row r="126" spans="2:8" x14ac:dyDescent="0.3">
      <c r="B126" s="68" t="s">
        <v>627</v>
      </c>
      <c r="C126" s="227" t="s">
        <v>628</v>
      </c>
      <c r="D126" s="225">
        <v>1</v>
      </c>
      <c r="E126" s="225">
        <v>1033</v>
      </c>
      <c r="F126" s="225">
        <v>28</v>
      </c>
      <c r="G126" s="225">
        <f t="shared" si="1"/>
        <v>930</v>
      </c>
      <c r="H126">
        <v>744</v>
      </c>
    </row>
    <row r="127" spans="2:8" x14ac:dyDescent="0.3">
      <c r="B127" s="68" t="s">
        <v>629</v>
      </c>
      <c r="C127" s="68" t="s">
        <v>630</v>
      </c>
      <c r="D127" s="225">
        <v>1</v>
      </c>
      <c r="E127" s="225">
        <v>105</v>
      </c>
      <c r="F127" s="225">
        <v>28</v>
      </c>
      <c r="G127" s="225">
        <f t="shared" si="1"/>
        <v>95</v>
      </c>
      <c r="H127">
        <v>76</v>
      </c>
    </row>
    <row r="128" spans="2:8" x14ac:dyDescent="0.3">
      <c r="B128" s="68" t="s">
        <v>631</v>
      </c>
      <c r="C128" s="68" t="s">
        <v>632</v>
      </c>
      <c r="D128" s="225">
        <v>1</v>
      </c>
      <c r="E128" s="225">
        <v>297</v>
      </c>
      <c r="F128" s="225">
        <v>28</v>
      </c>
      <c r="G128" s="225">
        <f t="shared" si="1"/>
        <v>267.5</v>
      </c>
      <c r="H128">
        <v>214</v>
      </c>
    </row>
    <row r="129" spans="2:8" x14ac:dyDescent="0.3">
      <c r="B129" s="68" t="s">
        <v>633</v>
      </c>
      <c r="C129" s="227" t="s">
        <v>634</v>
      </c>
      <c r="D129" s="225">
        <v>1</v>
      </c>
      <c r="E129" s="225">
        <v>1566</v>
      </c>
      <c r="F129" s="225">
        <v>28</v>
      </c>
      <c r="G129" s="225">
        <f t="shared" si="1"/>
        <v>1410</v>
      </c>
      <c r="H129">
        <v>1128</v>
      </c>
    </row>
    <row r="130" spans="2:8" x14ac:dyDescent="0.3">
      <c r="B130" s="68" t="s">
        <v>635</v>
      </c>
      <c r="C130" s="68" t="s">
        <v>636</v>
      </c>
      <c r="D130" s="225">
        <v>1</v>
      </c>
      <c r="E130" s="225">
        <v>239</v>
      </c>
      <c r="F130" s="225">
        <v>28</v>
      </c>
      <c r="G130" s="225">
        <f t="shared" si="1"/>
        <v>215</v>
      </c>
      <c r="H130">
        <v>172</v>
      </c>
    </row>
    <row r="131" spans="2:8" x14ac:dyDescent="0.3">
      <c r="B131" s="68" t="s">
        <v>637</v>
      </c>
      <c r="C131" s="68" t="s">
        <v>638</v>
      </c>
      <c r="D131" s="225">
        <v>1</v>
      </c>
      <c r="E131" s="225">
        <v>367</v>
      </c>
      <c r="F131" s="225">
        <v>28</v>
      </c>
      <c r="G131" s="225">
        <f t="shared" si="1"/>
        <v>330</v>
      </c>
      <c r="H131">
        <v>264</v>
      </c>
    </row>
    <row r="132" spans="2:8" x14ac:dyDescent="0.3">
      <c r="B132" s="68" t="s">
        <v>639</v>
      </c>
      <c r="C132" s="68" t="s">
        <v>640</v>
      </c>
      <c r="D132" s="225">
        <v>1</v>
      </c>
      <c r="E132" s="225">
        <v>338.82</v>
      </c>
      <c r="F132" s="225">
        <v>28</v>
      </c>
      <c r="G132" s="225">
        <f t="shared" si="1"/>
        <v>287346.25</v>
      </c>
      <c r="H132">
        <v>229877</v>
      </c>
    </row>
    <row r="133" spans="2:8" x14ac:dyDescent="0.3">
      <c r="B133" s="68" t="s">
        <v>641</v>
      </c>
      <c r="C133" s="68" t="s">
        <v>642</v>
      </c>
      <c r="D133" s="225">
        <v>1</v>
      </c>
      <c r="E133" s="225">
        <v>628.82000000000005</v>
      </c>
      <c r="F133" s="225">
        <v>28</v>
      </c>
      <c r="G133" s="225">
        <f t="shared" si="1"/>
        <v>533288.75</v>
      </c>
      <c r="H133">
        <v>426631</v>
      </c>
    </row>
    <row r="134" spans="2:8" x14ac:dyDescent="0.3">
      <c r="B134" s="68" t="s">
        <v>643</v>
      </c>
      <c r="C134" s="68" t="s">
        <v>644</v>
      </c>
      <c r="D134" s="225">
        <v>1</v>
      </c>
      <c r="E134" s="225">
        <v>198</v>
      </c>
      <c r="F134" s="225">
        <v>28</v>
      </c>
      <c r="G134" s="225">
        <f t="shared" si="1"/>
        <v>178.75</v>
      </c>
      <c r="H134">
        <v>143</v>
      </c>
    </row>
    <row r="135" spans="2:8" x14ac:dyDescent="0.3">
      <c r="B135" s="68" t="s">
        <v>645</v>
      </c>
      <c r="C135" s="68" t="s">
        <v>646</v>
      </c>
      <c r="D135" s="225">
        <v>1</v>
      </c>
      <c r="E135" s="225">
        <v>259</v>
      </c>
      <c r="F135" s="225">
        <v>28</v>
      </c>
      <c r="G135" s="225">
        <f t="shared" ref="G135:G198" si="2">H135*1.25</f>
        <v>232.5</v>
      </c>
      <c r="H135">
        <v>186</v>
      </c>
    </row>
    <row r="136" spans="2:8" x14ac:dyDescent="0.3">
      <c r="B136" s="68" t="s">
        <v>647</v>
      </c>
      <c r="C136" s="68" t="s">
        <v>648</v>
      </c>
      <c r="D136" s="225">
        <v>1</v>
      </c>
      <c r="E136" s="225">
        <v>384</v>
      </c>
      <c r="F136" s="225">
        <v>28</v>
      </c>
      <c r="G136" s="225">
        <f t="shared" si="2"/>
        <v>345</v>
      </c>
      <c r="H136">
        <v>276</v>
      </c>
    </row>
    <row r="137" spans="2:8" x14ac:dyDescent="0.3">
      <c r="B137" s="68" t="s">
        <v>649</v>
      </c>
      <c r="C137" s="68" t="s">
        <v>650</v>
      </c>
      <c r="D137" s="225">
        <v>1</v>
      </c>
      <c r="E137" s="225">
        <v>542</v>
      </c>
      <c r="F137" s="225">
        <v>28</v>
      </c>
      <c r="G137" s="225">
        <f t="shared" si="2"/>
        <v>487.5</v>
      </c>
      <c r="H137">
        <v>390</v>
      </c>
    </row>
    <row r="138" spans="2:8" x14ac:dyDescent="0.3">
      <c r="B138" s="68" t="s">
        <v>651</v>
      </c>
      <c r="C138" s="68" t="s">
        <v>652</v>
      </c>
      <c r="D138" s="225">
        <v>1</v>
      </c>
      <c r="E138" s="225">
        <v>753</v>
      </c>
      <c r="F138" s="225">
        <v>28</v>
      </c>
      <c r="G138" s="225">
        <f t="shared" si="2"/>
        <v>677.5</v>
      </c>
      <c r="H138">
        <v>542</v>
      </c>
    </row>
    <row r="139" spans="2:8" x14ac:dyDescent="0.3">
      <c r="B139" s="68" t="s">
        <v>653</v>
      </c>
      <c r="C139" s="68" t="s">
        <v>654</v>
      </c>
      <c r="D139" s="225">
        <v>1</v>
      </c>
      <c r="E139" s="225">
        <v>1485</v>
      </c>
      <c r="F139" s="225">
        <v>28</v>
      </c>
      <c r="G139" s="225">
        <f t="shared" si="2"/>
        <v>1336.25</v>
      </c>
      <c r="H139">
        <v>1069</v>
      </c>
    </row>
    <row r="140" spans="2:8" x14ac:dyDescent="0.3">
      <c r="B140" s="68" t="s">
        <v>655</v>
      </c>
      <c r="C140" s="68" t="s">
        <v>656</v>
      </c>
      <c r="D140" s="225">
        <v>1</v>
      </c>
      <c r="E140" s="225">
        <v>2544</v>
      </c>
      <c r="F140" s="225">
        <v>28</v>
      </c>
      <c r="G140" s="225">
        <f t="shared" si="2"/>
        <v>2290</v>
      </c>
      <c r="H140">
        <v>1832</v>
      </c>
    </row>
    <row r="141" spans="2:8" x14ac:dyDescent="0.3">
      <c r="B141" s="68" t="s">
        <v>657</v>
      </c>
      <c r="C141" s="68" t="s">
        <v>658</v>
      </c>
      <c r="D141" s="225">
        <v>1</v>
      </c>
      <c r="E141" s="225">
        <v>3670</v>
      </c>
      <c r="F141" s="225">
        <v>28</v>
      </c>
      <c r="G141" s="225">
        <f t="shared" si="2"/>
        <v>3302.5</v>
      </c>
      <c r="H141">
        <v>2642</v>
      </c>
    </row>
    <row r="142" spans="2:8" x14ac:dyDescent="0.3">
      <c r="B142" s="68" t="s">
        <v>659</v>
      </c>
      <c r="C142" s="68" t="s">
        <v>660</v>
      </c>
      <c r="D142" s="225">
        <v>1</v>
      </c>
      <c r="E142" s="225">
        <v>4332</v>
      </c>
      <c r="F142" s="225">
        <v>28</v>
      </c>
      <c r="G142" s="225">
        <f t="shared" si="2"/>
        <v>3898.75</v>
      </c>
      <c r="H142">
        <v>3119</v>
      </c>
    </row>
    <row r="143" spans="2:8" x14ac:dyDescent="0.3">
      <c r="B143" s="68" t="s">
        <v>661</v>
      </c>
      <c r="C143" s="68" t="s">
        <v>662</v>
      </c>
      <c r="D143" s="225">
        <v>1</v>
      </c>
      <c r="E143" s="225">
        <v>6264</v>
      </c>
      <c r="F143" s="225">
        <v>28</v>
      </c>
      <c r="G143" s="225">
        <f t="shared" si="2"/>
        <v>5637.5</v>
      </c>
      <c r="H143">
        <v>4510</v>
      </c>
    </row>
    <row r="144" spans="2:8" x14ac:dyDescent="0.3">
      <c r="B144" s="68" t="s">
        <v>663</v>
      </c>
      <c r="C144" s="68" t="s">
        <v>664</v>
      </c>
      <c r="D144" s="225">
        <v>1</v>
      </c>
      <c r="E144" s="225">
        <v>1241</v>
      </c>
      <c r="F144" s="225">
        <v>28</v>
      </c>
      <c r="G144" s="225">
        <f t="shared" si="2"/>
        <v>1117.5</v>
      </c>
      <c r="H144">
        <v>894</v>
      </c>
    </row>
    <row r="145" spans="2:8" x14ac:dyDescent="0.3">
      <c r="B145" s="68" t="s">
        <v>665</v>
      </c>
      <c r="C145" s="68" t="s">
        <v>666</v>
      </c>
      <c r="D145" s="225">
        <v>1</v>
      </c>
      <c r="E145" s="225">
        <v>1443</v>
      </c>
      <c r="F145" s="225">
        <v>28</v>
      </c>
      <c r="G145" s="225">
        <f t="shared" si="2"/>
        <v>1298.75</v>
      </c>
      <c r="H145">
        <v>1039</v>
      </c>
    </row>
    <row r="146" spans="2:8" x14ac:dyDescent="0.3">
      <c r="B146" s="68" t="s">
        <v>667</v>
      </c>
      <c r="C146" s="68" t="s">
        <v>668</v>
      </c>
      <c r="D146" s="225">
        <v>1</v>
      </c>
      <c r="E146" s="225">
        <v>2257</v>
      </c>
      <c r="F146" s="225">
        <v>28</v>
      </c>
      <c r="G146" s="225">
        <f t="shared" si="2"/>
        <v>2031.25</v>
      </c>
      <c r="H146">
        <v>1625</v>
      </c>
    </row>
    <row r="147" spans="2:8" x14ac:dyDescent="0.3">
      <c r="B147" s="68" t="s">
        <v>669</v>
      </c>
      <c r="C147" s="68" t="s">
        <v>670</v>
      </c>
      <c r="D147" s="225">
        <v>1</v>
      </c>
      <c r="E147" s="225">
        <v>3326</v>
      </c>
      <c r="F147" s="225">
        <v>28</v>
      </c>
      <c r="G147" s="225">
        <f t="shared" si="2"/>
        <v>2993.75</v>
      </c>
      <c r="H147">
        <v>2395</v>
      </c>
    </row>
    <row r="148" spans="2:8" x14ac:dyDescent="0.3">
      <c r="B148" s="68" t="s">
        <v>671</v>
      </c>
      <c r="C148" s="68" t="s">
        <v>672</v>
      </c>
      <c r="D148" s="225">
        <v>1</v>
      </c>
      <c r="E148" s="225">
        <v>5002</v>
      </c>
      <c r="F148" s="225">
        <v>28</v>
      </c>
      <c r="G148" s="225">
        <f t="shared" si="2"/>
        <v>4501.25</v>
      </c>
      <c r="H148">
        <v>3601</v>
      </c>
    </row>
    <row r="149" spans="2:8" x14ac:dyDescent="0.3">
      <c r="B149" s="68" t="s">
        <v>673</v>
      </c>
      <c r="C149" s="68" t="s">
        <v>674</v>
      </c>
      <c r="D149" s="225">
        <v>1</v>
      </c>
      <c r="E149" s="225">
        <v>339</v>
      </c>
      <c r="F149" s="225">
        <v>28</v>
      </c>
      <c r="G149" s="225">
        <f t="shared" si="2"/>
        <v>305</v>
      </c>
      <c r="H149">
        <v>244</v>
      </c>
    </row>
    <row r="150" spans="2:8" x14ac:dyDescent="0.3">
      <c r="B150" s="68" t="s">
        <v>675</v>
      </c>
      <c r="C150" s="68" t="s">
        <v>676</v>
      </c>
      <c r="D150" s="225">
        <v>1</v>
      </c>
      <c r="E150" s="225">
        <v>467</v>
      </c>
      <c r="F150" s="225">
        <v>28</v>
      </c>
      <c r="G150" s="225">
        <f t="shared" si="2"/>
        <v>420</v>
      </c>
      <c r="H150">
        <v>336</v>
      </c>
    </row>
    <row r="151" spans="2:8" x14ac:dyDescent="0.3">
      <c r="B151" s="68" t="s">
        <v>677</v>
      </c>
      <c r="C151" s="68" t="s">
        <v>678</v>
      </c>
      <c r="D151" s="225">
        <v>1</v>
      </c>
      <c r="E151" s="225">
        <v>781</v>
      </c>
      <c r="F151" s="225">
        <v>28</v>
      </c>
      <c r="G151" s="225">
        <f t="shared" si="2"/>
        <v>702.5</v>
      </c>
      <c r="H151">
        <v>562</v>
      </c>
    </row>
    <row r="152" spans="2:8" x14ac:dyDescent="0.3">
      <c r="B152" s="68" t="s">
        <v>679</v>
      </c>
      <c r="C152" s="68" t="s">
        <v>680</v>
      </c>
      <c r="D152" s="225">
        <v>1</v>
      </c>
      <c r="E152" s="225">
        <v>1026</v>
      </c>
      <c r="F152" s="225">
        <v>28</v>
      </c>
      <c r="G152" s="225">
        <f t="shared" si="2"/>
        <v>923.75</v>
      </c>
      <c r="H152">
        <v>739</v>
      </c>
    </row>
    <row r="153" spans="2:8" x14ac:dyDescent="0.3">
      <c r="B153" s="68" t="s">
        <v>681</v>
      </c>
      <c r="C153" s="68" t="s">
        <v>682</v>
      </c>
      <c r="D153" s="225">
        <v>1</v>
      </c>
      <c r="E153" s="225">
        <v>1944</v>
      </c>
      <c r="F153" s="225">
        <v>28</v>
      </c>
      <c r="G153" s="225">
        <f t="shared" si="2"/>
        <v>1750</v>
      </c>
      <c r="H153">
        <v>1400</v>
      </c>
    </row>
    <row r="154" spans="2:8" x14ac:dyDescent="0.3">
      <c r="B154" s="68" t="s">
        <v>683</v>
      </c>
      <c r="C154" s="68" t="s">
        <v>684</v>
      </c>
      <c r="D154" s="225">
        <v>1</v>
      </c>
      <c r="E154" s="225">
        <v>1487</v>
      </c>
      <c r="F154" s="225">
        <v>28</v>
      </c>
      <c r="G154" s="225">
        <f t="shared" si="2"/>
        <v>1338.75</v>
      </c>
      <c r="H154">
        <v>1071</v>
      </c>
    </row>
    <row r="155" spans="2:8" x14ac:dyDescent="0.3">
      <c r="B155" s="68" t="s">
        <v>685</v>
      </c>
      <c r="C155" s="68" t="s">
        <v>686</v>
      </c>
      <c r="D155" s="225">
        <v>1</v>
      </c>
      <c r="E155" s="225">
        <v>1942</v>
      </c>
      <c r="F155" s="225">
        <v>28</v>
      </c>
      <c r="G155" s="225">
        <f t="shared" si="2"/>
        <v>1747.5</v>
      </c>
      <c r="H155">
        <v>1398</v>
      </c>
    </row>
    <row r="156" spans="2:8" x14ac:dyDescent="0.3">
      <c r="B156" s="68" t="s">
        <v>687</v>
      </c>
      <c r="C156" s="68" t="s">
        <v>688</v>
      </c>
      <c r="D156" s="225">
        <v>1</v>
      </c>
      <c r="E156" s="225">
        <v>3344</v>
      </c>
      <c r="F156" s="225">
        <v>28</v>
      </c>
      <c r="G156" s="225">
        <f t="shared" si="2"/>
        <v>3010</v>
      </c>
      <c r="H156">
        <v>2408</v>
      </c>
    </row>
    <row r="157" spans="2:8" x14ac:dyDescent="0.3">
      <c r="B157" s="68" t="s">
        <v>689</v>
      </c>
      <c r="C157" s="68" t="s">
        <v>690</v>
      </c>
      <c r="D157" s="225">
        <v>1</v>
      </c>
      <c r="E157" s="225">
        <v>6236</v>
      </c>
      <c r="F157" s="225">
        <v>28</v>
      </c>
      <c r="G157" s="225">
        <f t="shared" si="2"/>
        <v>5612.5</v>
      </c>
      <c r="H157">
        <v>4490</v>
      </c>
    </row>
    <row r="158" spans="2:8" x14ac:dyDescent="0.3">
      <c r="B158" s="68" t="s">
        <v>691</v>
      </c>
      <c r="C158" s="68" t="s">
        <v>692</v>
      </c>
      <c r="D158" s="225">
        <v>1</v>
      </c>
      <c r="E158" s="225">
        <v>10867</v>
      </c>
      <c r="F158" s="225">
        <v>28</v>
      </c>
      <c r="G158" s="225">
        <f t="shared" si="2"/>
        <v>9780</v>
      </c>
      <c r="H158">
        <v>7824</v>
      </c>
    </row>
    <row r="159" spans="2:8" x14ac:dyDescent="0.3">
      <c r="B159" s="68" t="s">
        <v>693</v>
      </c>
      <c r="C159" s="68" t="s">
        <v>694</v>
      </c>
      <c r="D159" s="225">
        <v>1</v>
      </c>
      <c r="E159" s="225">
        <v>8784</v>
      </c>
      <c r="F159" s="225">
        <v>28</v>
      </c>
      <c r="G159" s="225">
        <f t="shared" si="2"/>
        <v>7905</v>
      </c>
      <c r="H159">
        <v>6324</v>
      </c>
    </row>
    <row r="160" spans="2:8" x14ac:dyDescent="0.3">
      <c r="B160" s="68" t="s">
        <v>695</v>
      </c>
      <c r="C160" s="68" t="s">
        <v>696</v>
      </c>
      <c r="D160" s="225">
        <v>1</v>
      </c>
      <c r="E160" s="225">
        <v>10612</v>
      </c>
      <c r="F160" s="225">
        <v>28</v>
      </c>
      <c r="G160" s="225">
        <f t="shared" si="2"/>
        <v>9551.25</v>
      </c>
      <c r="H160">
        <v>7641</v>
      </c>
    </row>
    <row r="161" spans="2:8" x14ac:dyDescent="0.3">
      <c r="B161" s="68" t="s">
        <v>697</v>
      </c>
      <c r="C161" s="68" t="s">
        <v>698</v>
      </c>
      <c r="D161" s="225">
        <v>1</v>
      </c>
      <c r="E161" s="225">
        <v>16105</v>
      </c>
      <c r="F161" s="225">
        <v>28</v>
      </c>
      <c r="G161" s="225">
        <f t="shared" si="2"/>
        <v>14495</v>
      </c>
      <c r="H161">
        <v>11596</v>
      </c>
    </row>
    <row r="162" spans="2:8" x14ac:dyDescent="0.3">
      <c r="B162" s="68" t="s">
        <v>699</v>
      </c>
      <c r="C162" s="68" t="s">
        <v>700</v>
      </c>
      <c r="D162" s="225">
        <v>1</v>
      </c>
      <c r="E162" s="225">
        <v>26160</v>
      </c>
      <c r="F162" s="225">
        <v>28</v>
      </c>
      <c r="G162" s="225">
        <f t="shared" si="2"/>
        <v>23543.75</v>
      </c>
      <c r="H162">
        <v>18835</v>
      </c>
    </row>
    <row r="163" spans="2:8" x14ac:dyDescent="0.3">
      <c r="B163" s="68" t="s">
        <v>701</v>
      </c>
      <c r="C163" s="68" t="s">
        <v>702</v>
      </c>
      <c r="D163" s="225">
        <v>1</v>
      </c>
      <c r="E163" s="225">
        <v>36817</v>
      </c>
      <c r="F163" s="225">
        <v>28</v>
      </c>
      <c r="G163" s="225">
        <f t="shared" si="2"/>
        <v>33135</v>
      </c>
      <c r="H163">
        <v>26508</v>
      </c>
    </row>
    <row r="164" spans="2:8" x14ac:dyDescent="0.3">
      <c r="B164" s="68" t="s">
        <v>703</v>
      </c>
      <c r="C164" s="68" t="s">
        <v>704</v>
      </c>
      <c r="D164" s="225">
        <v>1</v>
      </c>
      <c r="E164" s="225">
        <v>58</v>
      </c>
      <c r="F164" s="225">
        <v>28</v>
      </c>
      <c r="G164" s="225">
        <f t="shared" si="2"/>
        <v>52.5</v>
      </c>
      <c r="H164">
        <v>42</v>
      </c>
    </row>
    <row r="165" spans="2:8" x14ac:dyDescent="0.3">
      <c r="B165" s="68" t="s">
        <v>705</v>
      </c>
      <c r="C165" s="68" t="s">
        <v>706</v>
      </c>
      <c r="D165" s="225">
        <v>1</v>
      </c>
      <c r="E165" s="225">
        <v>65</v>
      </c>
      <c r="F165" s="225">
        <v>28</v>
      </c>
      <c r="G165" s="225">
        <f t="shared" si="2"/>
        <v>58.75</v>
      </c>
      <c r="H165">
        <v>47</v>
      </c>
    </row>
    <row r="166" spans="2:8" x14ac:dyDescent="0.3">
      <c r="B166" s="68" t="s">
        <v>707</v>
      </c>
      <c r="C166" s="68" t="s">
        <v>708</v>
      </c>
      <c r="D166" s="225">
        <v>1</v>
      </c>
      <c r="E166" s="225">
        <v>123</v>
      </c>
      <c r="F166" s="225">
        <v>28</v>
      </c>
      <c r="G166" s="225">
        <f t="shared" si="2"/>
        <v>111.25</v>
      </c>
      <c r="H166">
        <v>89</v>
      </c>
    </row>
    <row r="167" spans="2:8" x14ac:dyDescent="0.3">
      <c r="B167" s="68" t="s">
        <v>709</v>
      </c>
      <c r="C167" s="68" t="s">
        <v>710</v>
      </c>
      <c r="D167" s="225">
        <v>1</v>
      </c>
      <c r="E167" s="225">
        <v>216</v>
      </c>
      <c r="F167" s="225">
        <v>28</v>
      </c>
      <c r="G167" s="225">
        <f t="shared" si="2"/>
        <v>195</v>
      </c>
      <c r="H167">
        <v>156</v>
      </c>
    </row>
    <row r="168" spans="2:8" x14ac:dyDescent="0.3">
      <c r="B168" s="68" t="s">
        <v>711</v>
      </c>
      <c r="C168" s="68" t="s">
        <v>712</v>
      </c>
      <c r="D168" s="225">
        <v>1</v>
      </c>
      <c r="E168" s="225">
        <v>319</v>
      </c>
      <c r="F168" s="225">
        <v>28</v>
      </c>
      <c r="G168" s="225">
        <f t="shared" si="2"/>
        <v>287.5</v>
      </c>
      <c r="H168">
        <v>230</v>
      </c>
    </row>
    <row r="169" spans="2:8" x14ac:dyDescent="0.3">
      <c r="B169" s="68" t="s">
        <v>713</v>
      </c>
      <c r="C169" s="68" t="s">
        <v>714</v>
      </c>
      <c r="D169" s="225">
        <v>1</v>
      </c>
      <c r="E169" s="225">
        <v>72.44</v>
      </c>
      <c r="F169" s="225">
        <v>28</v>
      </c>
      <c r="G169" s="225">
        <f t="shared" si="2"/>
        <v>61438.75</v>
      </c>
      <c r="H169">
        <v>49151</v>
      </c>
    </row>
    <row r="170" spans="2:8" x14ac:dyDescent="0.3">
      <c r="B170" s="68" t="s">
        <v>715</v>
      </c>
      <c r="C170" s="68" t="s">
        <v>716</v>
      </c>
      <c r="D170" s="225">
        <v>1</v>
      </c>
      <c r="E170" s="225">
        <v>88.54</v>
      </c>
      <c r="F170" s="225">
        <v>28</v>
      </c>
      <c r="G170" s="225">
        <f t="shared" si="2"/>
        <v>75090</v>
      </c>
      <c r="H170">
        <v>60072</v>
      </c>
    </row>
    <row r="171" spans="2:8" x14ac:dyDescent="0.3">
      <c r="B171" s="68" t="s">
        <v>717</v>
      </c>
      <c r="C171" s="68" t="s">
        <v>718</v>
      </c>
      <c r="D171" s="225">
        <v>1</v>
      </c>
      <c r="E171" s="225">
        <v>103.03</v>
      </c>
      <c r="F171" s="225">
        <v>28</v>
      </c>
      <c r="G171" s="225">
        <f t="shared" si="2"/>
        <v>87376.25</v>
      </c>
      <c r="H171">
        <v>69901</v>
      </c>
    </row>
    <row r="172" spans="2:8" x14ac:dyDescent="0.3">
      <c r="B172" s="68" t="s">
        <v>719</v>
      </c>
      <c r="C172" s="68" t="s">
        <v>720</v>
      </c>
      <c r="D172" s="225">
        <v>1</v>
      </c>
      <c r="E172" s="225">
        <v>117.52</v>
      </c>
      <c r="F172" s="225">
        <v>28</v>
      </c>
      <c r="G172" s="225">
        <f t="shared" si="2"/>
        <v>99661.25</v>
      </c>
      <c r="H172">
        <v>79729</v>
      </c>
    </row>
    <row r="173" spans="2:8" x14ac:dyDescent="0.3">
      <c r="B173" s="68" t="s">
        <v>721</v>
      </c>
      <c r="C173" s="68" t="s">
        <v>722</v>
      </c>
      <c r="D173" s="225">
        <v>1</v>
      </c>
      <c r="E173" s="225">
        <v>128.78</v>
      </c>
      <c r="F173" s="225">
        <v>28</v>
      </c>
      <c r="G173" s="225">
        <f t="shared" si="2"/>
        <v>109213.75</v>
      </c>
      <c r="H173">
        <v>87371</v>
      </c>
    </row>
    <row r="174" spans="2:8" x14ac:dyDescent="0.3">
      <c r="B174" s="68" t="s">
        <v>723</v>
      </c>
      <c r="C174" s="68" t="s">
        <v>724</v>
      </c>
      <c r="D174" s="225">
        <v>1</v>
      </c>
      <c r="E174" s="225">
        <v>140.05000000000001</v>
      </c>
      <c r="F174" s="225">
        <v>28</v>
      </c>
      <c r="G174" s="225">
        <f t="shared" si="2"/>
        <v>118778.75</v>
      </c>
      <c r="H174">
        <v>95023</v>
      </c>
    </row>
    <row r="175" spans="2:8" x14ac:dyDescent="0.3">
      <c r="B175" s="68" t="s">
        <v>725</v>
      </c>
      <c r="C175" s="68" t="s">
        <v>726</v>
      </c>
      <c r="D175" s="225">
        <v>1</v>
      </c>
      <c r="E175" s="225">
        <v>152.93</v>
      </c>
      <c r="F175" s="225">
        <v>28</v>
      </c>
      <c r="G175" s="225">
        <f t="shared" si="2"/>
        <v>129697.5</v>
      </c>
      <c r="H175">
        <v>103758</v>
      </c>
    </row>
    <row r="176" spans="2:8" x14ac:dyDescent="0.3">
      <c r="B176" s="68" t="s">
        <v>727</v>
      </c>
      <c r="C176" s="68" t="s">
        <v>728</v>
      </c>
      <c r="D176" s="225">
        <v>1</v>
      </c>
      <c r="E176" s="225">
        <v>169.03</v>
      </c>
      <c r="F176" s="225">
        <v>28</v>
      </c>
      <c r="G176" s="225">
        <f t="shared" si="2"/>
        <v>143348.75</v>
      </c>
      <c r="H176">
        <v>114679</v>
      </c>
    </row>
    <row r="177" spans="2:8" x14ac:dyDescent="0.3">
      <c r="B177" s="68" t="s">
        <v>729</v>
      </c>
      <c r="C177" s="68" t="s">
        <v>730</v>
      </c>
      <c r="D177" s="225">
        <v>1</v>
      </c>
      <c r="E177" s="225">
        <v>402.45</v>
      </c>
      <c r="F177" s="225">
        <v>28</v>
      </c>
      <c r="G177" s="225">
        <f t="shared" si="2"/>
        <v>341305</v>
      </c>
      <c r="H177">
        <v>273044</v>
      </c>
    </row>
    <row r="178" spans="2:8" x14ac:dyDescent="0.3">
      <c r="B178" s="68" t="s">
        <v>731</v>
      </c>
      <c r="C178" s="227" t="s">
        <v>732</v>
      </c>
      <c r="D178" s="225">
        <v>1</v>
      </c>
      <c r="E178" s="225">
        <v>788.8</v>
      </c>
      <c r="F178" s="225">
        <v>28</v>
      </c>
      <c r="G178" s="225">
        <f t="shared" si="2"/>
        <v>668970</v>
      </c>
      <c r="H178">
        <v>535176</v>
      </c>
    </row>
    <row r="179" spans="2:8" x14ac:dyDescent="0.3">
      <c r="B179" s="68" t="s">
        <v>733</v>
      </c>
      <c r="C179" s="227" t="s">
        <v>734</v>
      </c>
      <c r="D179" s="225">
        <v>1</v>
      </c>
      <c r="E179" s="225">
        <v>531.24</v>
      </c>
      <c r="F179" s="225">
        <v>28</v>
      </c>
      <c r="G179" s="225">
        <f t="shared" si="2"/>
        <v>450530</v>
      </c>
      <c r="H179">
        <v>360424</v>
      </c>
    </row>
    <row r="180" spans="2:8" x14ac:dyDescent="0.3">
      <c r="B180" s="68" t="s">
        <v>735</v>
      </c>
      <c r="C180" s="227" t="s">
        <v>736</v>
      </c>
      <c r="D180" s="225">
        <v>1</v>
      </c>
      <c r="E180" s="225">
        <v>660.02</v>
      </c>
      <c r="F180" s="225">
        <v>28</v>
      </c>
      <c r="G180" s="225">
        <f t="shared" si="2"/>
        <v>559743.75</v>
      </c>
      <c r="H180">
        <v>447795</v>
      </c>
    </row>
    <row r="181" spans="2:8" x14ac:dyDescent="0.3">
      <c r="B181" s="68" t="s">
        <v>737</v>
      </c>
      <c r="C181" s="227" t="s">
        <v>738</v>
      </c>
      <c r="D181" s="225">
        <v>1</v>
      </c>
      <c r="E181" s="225">
        <v>595.63</v>
      </c>
      <c r="F181" s="225">
        <v>28</v>
      </c>
      <c r="G181" s="225">
        <f t="shared" si="2"/>
        <v>505137.5</v>
      </c>
      <c r="H181">
        <v>404110</v>
      </c>
    </row>
    <row r="182" spans="2:8" x14ac:dyDescent="0.3">
      <c r="B182" s="68" t="s">
        <v>739</v>
      </c>
      <c r="C182" s="227" t="s">
        <v>740</v>
      </c>
      <c r="D182" s="225">
        <v>1</v>
      </c>
      <c r="E182" s="225">
        <v>885.39</v>
      </c>
      <c r="F182" s="225">
        <v>28</v>
      </c>
      <c r="G182" s="225">
        <f t="shared" si="2"/>
        <v>750880</v>
      </c>
      <c r="H182">
        <v>600704</v>
      </c>
    </row>
    <row r="183" spans="2:8" x14ac:dyDescent="0.3">
      <c r="B183" s="68" t="s">
        <v>741</v>
      </c>
      <c r="C183" s="227" t="s">
        <v>742</v>
      </c>
      <c r="D183" s="225">
        <v>1</v>
      </c>
      <c r="E183" s="226">
        <v>1014.18</v>
      </c>
      <c r="F183" s="225">
        <v>28</v>
      </c>
      <c r="G183" s="225">
        <f t="shared" si="2"/>
        <v>860105</v>
      </c>
      <c r="H183">
        <v>688084</v>
      </c>
    </row>
    <row r="184" spans="2:8" x14ac:dyDescent="0.3">
      <c r="B184" s="68" t="s">
        <v>743</v>
      </c>
      <c r="C184" s="227" t="s">
        <v>744</v>
      </c>
      <c r="D184" s="225">
        <v>1</v>
      </c>
      <c r="E184" s="226" t="s">
        <v>1096</v>
      </c>
      <c r="F184" s="225">
        <v>28</v>
      </c>
      <c r="G184" s="225">
        <f t="shared" si="2"/>
        <v>901060</v>
      </c>
      <c r="H184">
        <v>720848</v>
      </c>
    </row>
    <row r="185" spans="2:8" x14ac:dyDescent="0.3">
      <c r="B185" s="68" t="s">
        <v>745</v>
      </c>
      <c r="C185" s="227" t="s">
        <v>746</v>
      </c>
      <c r="D185" s="225">
        <v>1</v>
      </c>
      <c r="E185" s="226" t="s">
        <v>1097</v>
      </c>
      <c r="F185" s="225">
        <v>28</v>
      </c>
      <c r="G185" s="225">
        <f t="shared" si="2"/>
        <v>1160455</v>
      </c>
      <c r="H185">
        <v>928364</v>
      </c>
    </row>
    <row r="186" spans="2:8" x14ac:dyDescent="0.3">
      <c r="B186" s="68" t="s">
        <v>747</v>
      </c>
      <c r="C186" s="227" t="s">
        <v>748</v>
      </c>
      <c r="D186" s="225">
        <v>1</v>
      </c>
      <c r="E186" s="225">
        <v>434.65</v>
      </c>
      <c r="F186" s="225">
        <v>28</v>
      </c>
      <c r="G186" s="225">
        <f t="shared" si="2"/>
        <v>368620</v>
      </c>
      <c r="H186">
        <v>294896</v>
      </c>
    </row>
    <row r="187" spans="2:8" x14ac:dyDescent="0.3">
      <c r="B187" s="68" t="s">
        <v>749</v>
      </c>
      <c r="C187" s="227" t="s">
        <v>750</v>
      </c>
      <c r="D187" s="225">
        <v>1</v>
      </c>
      <c r="E187" s="225">
        <v>6.84</v>
      </c>
      <c r="F187" s="225">
        <v>28</v>
      </c>
      <c r="G187" s="225">
        <f t="shared" si="2"/>
        <v>5795</v>
      </c>
      <c r="H187">
        <v>4636</v>
      </c>
    </row>
    <row r="188" spans="2:8" x14ac:dyDescent="0.3">
      <c r="B188" s="68" t="s">
        <v>751</v>
      </c>
      <c r="C188" s="227" t="s">
        <v>752</v>
      </c>
      <c r="D188" s="225">
        <v>1</v>
      </c>
      <c r="E188" s="225">
        <v>11.27</v>
      </c>
      <c r="F188" s="225">
        <v>28</v>
      </c>
      <c r="G188" s="225">
        <f t="shared" si="2"/>
        <v>9552.5</v>
      </c>
      <c r="H188">
        <v>7642</v>
      </c>
    </row>
    <row r="189" spans="2:8" x14ac:dyDescent="0.3">
      <c r="B189" s="68" t="s">
        <v>753</v>
      </c>
      <c r="C189" s="227" t="s">
        <v>754</v>
      </c>
      <c r="D189" s="225">
        <v>1</v>
      </c>
      <c r="E189" s="225">
        <v>72.44</v>
      </c>
      <c r="F189" s="225">
        <v>28</v>
      </c>
      <c r="G189" s="225">
        <f t="shared" si="2"/>
        <v>61438.75</v>
      </c>
      <c r="H189">
        <v>49151</v>
      </c>
    </row>
    <row r="190" spans="2:8" x14ac:dyDescent="0.3">
      <c r="B190" s="68" t="s">
        <v>755</v>
      </c>
      <c r="C190" s="68" t="s">
        <v>756</v>
      </c>
      <c r="D190" s="225">
        <v>1</v>
      </c>
      <c r="E190" s="225">
        <v>1722</v>
      </c>
      <c r="F190" s="225">
        <v>28</v>
      </c>
      <c r="G190" s="225">
        <f t="shared" si="2"/>
        <v>1550</v>
      </c>
      <c r="H190">
        <v>1240</v>
      </c>
    </row>
    <row r="191" spans="2:8" x14ac:dyDescent="0.3">
      <c r="B191" s="68" t="s">
        <v>757</v>
      </c>
      <c r="C191" s="68" t="s">
        <v>758</v>
      </c>
      <c r="D191" s="225">
        <v>1</v>
      </c>
      <c r="E191" s="225">
        <v>2900</v>
      </c>
      <c r="F191" s="225">
        <v>28</v>
      </c>
      <c r="G191" s="225">
        <f t="shared" si="2"/>
        <v>2610</v>
      </c>
      <c r="H191">
        <v>2088</v>
      </c>
    </row>
    <row r="192" spans="2:8" x14ac:dyDescent="0.3">
      <c r="B192" s="68" t="s">
        <v>759</v>
      </c>
      <c r="C192" s="68" t="s">
        <v>760</v>
      </c>
      <c r="D192" s="225">
        <v>1</v>
      </c>
      <c r="E192" s="225">
        <v>2900</v>
      </c>
      <c r="F192" s="225">
        <v>28</v>
      </c>
      <c r="G192" s="225">
        <f t="shared" si="2"/>
        <v>2610</v>
      </c>
      <c r="H192">
        <v>2088</v>
      </c>
    </row>
    <row r="193" spans="2:8" x14ac:dyDescent="0.3">
      <c r="B193" s="68" t="s">
        <v>761</v>
      </c>
      <c r="C193" s="68" t="s">
        <v>762</v>
      </c>
      <c r="D193" s="225">
        <v>1</v>
      </c>
      <c r="E193" s="225">
        <v>2900</v>
      </c>
      <c r="F193" s="225">
        <v>28</v>
      </c>
      <c r="G193" s="225">
        <f t="shared" si="2"/>
        <v>2610</v>
      </c>
      <c r="H193">
        <v>2088</v>
      </c>
    </row>
    <row r="194" spans="2:8" x14ac:dyDescent="0.3">
      <c r="B194" s="68" t="s">
        <v>763</v>
      </c>
      <c r="C194" s="68" t="s">
        <v>764</v>
      </c>
      <c r="D194" s="225">
        <v>1</v>
      </c>
      <c r="E194" s="225">
        <v>3396</v>
      </c>
      <c r="F194" s="225">
        <v>28</v>
      </c>
      <c r="G194" s="225">
        <f t="shared" si="2"/>
        <v>3056.25</v>
      </c>
      <c r="H194">
        <v>2445</v>
      </c>
    </row>
    <row r="195" spans="2:8" x14ac:dyDescent="0.3">
      <c r="B195" s="68" t="s">
        <v>765</v>
      </c>
      <c r="C195" s="68" t="s">
        <v>766</v>
      </c>
      <c r="D195" s="225">
        <v>1</v>
      </c>
      <c r="E195" s="225">
        <v>18138</v>
      </c>
      <c r="F195" s="225">
        <v>28</v>
      </c>
      <c r="G195" s="225">
        <f t="shared" si="2"/>
        <v>16323.75</v>
      </c>
      <c r="H195">
        <v>13059</v>
      </c>
    </row>
    <row r="196" spans="2:8" x14ac:dyDescent="0.3">
      <c r="B196" s="68" t="s">
        <v>767</v>
      </c>
      <c r="C196" s="68" t="s">
        <v>768</v>
      </c>
      <c r="D196" s="225">
        <v>1</v>
      </c>
      <c r="E196" s="225">
        <v>105402</v>
      </c>
      <c r="F196" s="225">
        <v>28</v>
      </c>
      <c r="G196" s="225">
        <f t="shared" si="2"/>
        <v>94861.25</v>
      </c>
      <c r="H196">
        <v>75889</v>
      </c>
    </row>
    <row r="197" spans="2:8" x14ac:dyDescent="0.3">
      <c r="B197" s="68" t="s">
        <v>769</v>
      </c>
      <c r="C197" s="68" t="s">
        <v>770</v>
      </c>
      <c r="D197" s="225">
        <v>1</v>
      </c>
      <c r="E197" s="225">
        <v>458498</v>
      </c>
      <c r="F197" s="225">
        <v>28</v>
      </c>
      <c r="G197" s="225">
        <f t="shared" si="2"/>
        <v>412648.75</v>
      </c>
      <c r="H197">
        <v>330119</v>
      </c>
    </row>
    <row r="198" spans="2:8" x14ac:dyDescent="0.3">
      <c r="B198" s="68" t="s">
        <v>771</v>
      </c>
      <c r="C198" s="68" t="s">
        <v>772</v>
      </c>
      <c r="D198" s="225">
        <v>1</v>
      </c>
      <c r="E198" s="225">
        <v>554677</v>
      </c>
      <c r="F198" s="225">
        <v>28</v>
      </c>
      <c r="G198" s="225">
        <f t="shared" si="2"/>
        <v>499208.75</v>
      </c>
      <c r="H198">
        <v>399367</v>
      </c>
    </row>
    <row r="199" spans="2:8" x14ac:dyDescent="0.3">
      <c r="B199" s="68" t="s">
        <v>773</v>
      </c>
      <c r="C199" s="68" t="s">
        <v>774</v>
      </c>
      <c r="D199" s="225">
        <v>1</v>
      </c>
      <c r="E199" s="225">
        <v>420290</v>
      </c>
      <c r="F199" s="225">
        <v>28</v>
      </c>
      <c r="G199" s="225">
        <f t="shared" ref="G199:G262" si="3">H199*1.25</f>
        <v>378261.25</v>
      </c>
      <c r="H199">
        <v>302609</v>
      </c>
    </row>
    <row r="200" spans="2:8" x14ac:dyDescent="0.3">
      <c r="B200" s="68" t="s">
        <v>775</v>
      </c>
      <c r="C200" s="68" t="s">
        <v>776</v>
      </c>
      <c r="D200" s="225">
        <v>1</v>
      </c>
      <c r="E200" s="225">
        <v>237154</v>
      </c>
      <c r="F200" s="225">
        <v>28</v>
      </c>
      <c r="G200" s="225">
        <f t="shared" si="3"/>
        <v>213438.75</v>
      </c>
      <c r="H200">
        <v>170751</v>
      </c>
    </row>
    <row r="201" spans="2:8" x14ac:dyDescent="0.3">
      <c r="B201" s="68" t="s">
        <v>777</v>
      </c>
      <c r="C201" s="68" t="s">
        <v>778</v>
      </c>
      <c r="D201" s="225">
        <v>1</v>
      </c>
      <c r="E201" s="225">
        <v>97403</v>
      </c>
      <c r="F201" s="225">
        <v>28</v>
      </c>
      <c r="G201" s="225">
        <f t="shared" si="3"/>
        <v>87662.5</v>
      </c>
      <c r="H201">
        <v>70130</v>
      </c>
    </row>
    <row r="202" spans="2:8" x14ac:dyDescent="0.3">
      <c r="B202" s="68" t="s">
        <v>779</v>
      </c>
      <c r="C202" s="68" t="s">
        <v>780</v>
      </c>
      <c r="D202" s="225">
        <v>1</v>
      </c>
      <c r="E202" s="225">
        <v>31.39</v>
      </c>
      <c r="F202" s="225">
        <v>28</v>
      </c>
      <c r="G202" s="225">
        <f t="shared" si="3"/>
        <v>26620</v>
      </c>
      <c r="H202">
        <v>21296</v>
      </c>
    </row>
    <row r="203" spans="2:8" x14ac:dyDescent="0.3">
      <c r="B203" s="68" t="s">
        <v>781</v>
      </c>
      <c r="C203" s="68" t="s">
        <v>782</v>
      </c>
      <c r="D203" s="225">
        <v>1</v>
      </c>
      <c r="E203" s="225">
        <v>19174</v>
      </c>
      <c r="F203" s="225">
        <v>28</v>
      </c>
      <c r="G203" s="225">
        <f t="shared" si="3"/>
        <v>17256.25</v>
      </c>
      <c r="H203">
        <v>13805</v>
      </c>
    </row>
    <row r="204" spans="2:8" x14ac:dyDescent="0.3">
      <c r="B204" s="68" t="s">
        <v>783</v>
      </c>
      <c r="C204" s="68" t="s">
        <v>784</v>
      </c>
      <c r="D204" s="225">
        <v>1</v>
      </c>
      <c r="E204" s="225">
        <v>4221</v>
      </c>
      <c r="F204" s="225">
        <v>28</v>
      </c>
      <c r="G204" s="225">
        <f t="shared" si="3"/>
        <v>3798.75</v>
      </c>
      <c r="H204">
        <v>3039</v>
      </c>
    </row>
    <row r="205" spans="2:8" x14ac:dyDescent="0.3">
      <c r="B205" s="68" t="s">
        <v>785</v>
      </c>
      <c r="C205" s="68" t="s">
        <v>786</v>
      </c>
      <c r="D205" s="225">
        <v>1</v>
      </c>
      <c r="E205" s="225">
        <v>4221</v>
      </c>
      <c r="F205" s="225">
        <v>28</v>
      </c>
      <c r="G205" s="225">
        <f t="shared" si="3"/>
        <v>3798.75</v>
      </c>
      <c r="H205">
        <v>3039</v>
      </c>
    </row>
    <row r="206" spans="2:8" x14ac:dyDescent="0.3">
      <c r="B206" s="68" t="s">
        <v>787</v>
      </c>
      <c r="C206" s="68" t="s">
        <v>788</v>
      </c>
      <c r="D206" s="225">
        <v>1</v>
      </c>
      <c r="E206" s="225">
        <v>4221</v>
      </c>
      <c r="F206" s="225">
        <v>28</v>
      </c>
      <c r="G206" s="225">
        <f t="shared" si="3"/>
        <v>3798.75</v>
      </c>
      <c r="H206">
        <v>3039</v>
      </c>
    </row>
    <row r="207" spans="2:8" x14ac:dyDescent="0.3">
      <c r="B207" s="68" t="s">
        <v>789</v>
      </c>
      <c r="C207" s="68" t="s">
        <v>790</v>
      </c>
      <c r="D207" s="225">
        <v>1</v>
      </c>
      <c r="E207" s="225">
        <v>4221</v>
      </c>
      <c r="F207" s="225">
        <v>28</v>
      </c>
      <c r="G207" s="225">
        <f t="shared" si="3"/>
        <v>3798.75</v>
      </c>
      <c r="H207">
        <v>3039</v>
      </c>
    </row>
    <row r="208" spans="2:8" x14ac:dyDescent="0.3">
      <c r="B208" s="68" t="s">
        <v>791</v>
      </c>
      <c r="C208" s="68" t="s">
        <v>792</v>
      </c>
      <c r="D208" s="225">
        <v>1</v>
      </c>
      <c r="E208" s="225">
        <v>4221</v>
      </c>
      <c r="F208" s="225">
        <v>28</v>
      </c>
      <c r="G208" s="225">
        <f t="shared" si="3"/>
        <v>3798.75</v>
      </c>
      <c r="H208">
        <v>3039</v>
      </c>
    </row>
    <row r="209" spans="2:8" x14ac:dyDescent="0.3">
      <c r="B209" s="68" t="s">
        <v>793</v>
      </c>
      <c r="C209" s="68" t="s">
        <v>794</v>
      </c>
      <c r="D209" s="225">
        <v>1</v>
      </c>
      <c r="E209" s="225">
        <v>142972</v>
      </c>
      <c r="F209" s="225">
        <v>28</v>
      </c>
      <c r="G209" s="225">
        <f t="shared" si="3"/>
        <v>128675</v>
      </c>
      <c r="H209">
        <v>102940</v>
      </c>
    </row>
    <row r="210" spans="2:8" x14ac:dyDescent="0.3">
      <c r="B210" s="68" t="s">
        <v>795</v>
      </c>
      <c r="C210" s="68" t="s">
        <v>796</v>
      </c>
      <c r="D210" s="225">
        <v>1</v>
      </c>
      <c r="E210" s="225">
        <v>22514</v>
      </c>
      <c r="F210" s="225">
        <v>28</v>
      </c>
      <c r="G210" s="225">
        <f t="shared" si="3"/>
        <v>20262.5</v>
      </c>
      <c r="H210">
        <v>16210</v>
      </c>
    </row>
    <row r="211" spans="2:8" x14ac:dyDescent="0.3">
      <c r="B211" s="68" t="s">
        <v>797</v>
      </c>
      <c r="C211" s="68" t="s">
        <v>798</v>
      </c>
      <c r="D211" s="225">
        <v>1</v>
      </c>
      <c r="E211" s="225">
        <v>28295</v>
      </c>
      <c r="F211" s="225">
        <v>28</v>
      </c>
      <c r="G211" s="225">
        <f t="shared" si="3"/>
        <v>25465</v>
      </c>
      <c r="H211">
        <v>20372</v>
      </c>
    </row>
    <row r="212" spans="2:8" x14ac:dyDescent="0.3">
      <c r="B212" s="68" t="s">
        <v>799</v>
      </c>
      <c r="C212" s="68" t="s">
        <v>800</v>
      </c>
      <c r="D212" s="225">
        <v>1</v>
      </c>
      <c r="E212" s="225">
        <v>28295</v>
      </c>
      <c r="F212" s="225">
        <v>28</v>
      </c>
      <c r="G212" s="225">
        <f t="shared" si="3"/>
        <v>25465</v>
      </c>
      <c r="H212">
        <v>20372</v>
      </c>
    </row>
    <row r="213" spans="2:8" x14ac:dyDescent="0.3">
      <c r="B213" s="68" t="s">
        <v>801</v>
      </c>
      <c r="C213" s="68" t="s">
        <v>802</v>
      </c>
      <c r="D213" s="225">
        <v>1</v>
      </c>
      <c r="E213" s="225">
        <v>28295</v>
      </c>
      <c r="F213" s="225">
        <v>28</v>
      </c>
      <c r="G213" s="225">
        <f t="shared" si="3"/>
        <v>25465</v>
      </c>
      <c r="H213">
        <v>20372</v>
      </c>
    </row>
    <row r="214" spans="2:8" x14ac:dyDescent="0.3">
      <c r="B214" s="68" t="s">
        <v>803</v>
      </c>
      <c r="C214" s="68" t="s">
        <v>804</v>
      </c>
      <c r="D214" s="225">
        <v>1</v>
      </c>
      <c r="E214" s="225">
        <v>75822</v>
      </c>
      <c r="F214" s="225">
        <v>28</v>
      </c>
      <c r="G214" s="225">
        <f t="shared" si="3"/>
        <v>68240</v>
      </c>
      <c r="H214">
        <v>54592</v>
      </c>
    </row>
    <row r="215" spans="2:8" x14ac:dyDescent="0.3">
      <c r="B215" s="68" t="s">
        <v>805</v>
      </c>
      <c r="C215" s="68" t="s">
        <v>806</v>
      </c>
      <c r="D215" s="225">
        <v>1</v>
      </c>
      <c r="E215" s="225">
        <v>75822</v>
      </c>
      <c r="F215" s="225">
        <v>28</v>
      </c>
      <c r="G215" s="225">
        <f t="shared" si="3"/>
        <v>68240</v>
      </c>
      <c r="H215">
        <v>54592</v>
      </c>
    </row>
    <row r="216" spans="2:8" x14ac:dyDescent="0.3">
      <c r="B216" s="68" t="s">
        <v>807</v>
      </c>
      <c r="C216" s="68" t="s">
        <v>808</v>
      </c>
      <c r="D216" s="225">
        <v>1</v>
      </c>
      <c r="E216" s="225">
        <v>75822</v>
      </c>
      <c r="F216" s="225">
        <v>28</v>
      </c>
      <c r="G216" s="225">
        <f t="shared" si="3"/>
        <v>68240</v>
      </c>
      <c r="H216">
        <v>54592</v>
      </c>
    </row>
    <row r="217" spans="2:8" x14ac:dyDescent="0.3">
      <c r="B217" s="68" t="s">
        <v>809</v>
      </c>
      <c r="C217" s="68" t="s">
        <v>810</v>
      </c>
      <c r="D217" s="225">
        <v>1</v>
      </c>
      <c r="E217" s="225">
        <v>2.91</v>
      </c>
      <c r="F217" s="225">
        <v>28</v>
      </c>
      <c r="G217" s="225">
        <f t="shared" si="3"/>
        <v>2473.75</v>
      </c>
      <c r="H217">
        <v>1979</v>
      </c>
    </row>
    <row r="218" spans="2:8" x14ac:dyDescent="0.3">
      <c r="B218" s="68" t="s">
        <v>811</v>
      </c>
      <c r="C218" s="68" t="s">
        <v>812</v>
      </c>
      <c r="D218" s="225">
        <v>1</v>
      </c>
      <c r="E218" s="225">
        <v>1461</v>
      </c>
      <c r="F218" s="225">
        <v>28</v>
      </c>
      <c r="G218" s="225">
        <f t="shared" si="3"/>
        <v>1315</v>
      </c>
      <c r="H218">
        <v>1052</v>
      </c>
    </row>
    <row r="219" spans="2:8" x14ac:dyDescent="0.3">
      <c r="B219" s="68" t="s">
        <v>813</v>
      </c>
      <c r="C219" s="68" t="s">
        <v>814</v>
      </c>
      <c r="D219" s="225">
        <v>1</v>
      </c>
      <c r="E219" s="225">
        <v>5844</v>
      </c>
      <c r="F219" s="225">
        <v>28</v>
      </c>
      <c r="G219" s="225">
        <f t="shared" si="3"/>
        <v>5260</v>
      </c>
      <c r="H219">
        <v>4208</v>
      </c>
    </row>
    <row r="220" spans="2:8" x14ac:dyDescent="0.3">
      <c r="B220" s="68" t="s">
        <v>815</v>
      </c>
      <c r="C220" s="68" t="s">
        <v>816</v>
      </c>
      <c r="D220" s="225">
        <v>1</v>
      </c>
      <c r="E220" s="225">
        <v>1169</v>
      </c>
      <c r="F220" s="225">
        <v>28</v>
      </c>
      <c r="G220" s="225">
        <f t="shared" si="3"/>
        <v>1052.5</v>
      </c>
      <c r="H220">
        <v>842</v>
      </c>
    </row>
    <row r="221" spans="2:8" x14ac:dyDescent="0.3">
      <c r="B221" s="68" t="s">
        <v>817</v>
      </c>
      <c r="C221" s="68" t="s">
        <v>818</v>
      </c>
      <c r="D221" s="225">
        <v>1</v>
      </c>
      <c r="E221" s="225">
        <v>1169</v>
      </c>
      <c r="F221" s="225">
        <v>28</v>
      </c>
      <c r="G221" s="225">
        <f t="shared" si="3"/>
        <v>1052.5</v>
      </c>
      <c r="H221">
        <v>842</v>
      </c>
    </row>
    <row r="222" spans="2:8" x14ac:dyDescent="0.3">
      <c r="B222" s="68" t="s">
        <v>819</v>
      </c>
      <c r="C222" s="68" t="s">
        <v>820</v>
      </c>
      <c r="D222" s="225">
        <v>1</v>
      </c>
      <c r="E222" s="225">
        <v>1169</v>
      </c>
      <c r="F222" s="225">
        <v>28</v>
      </c>
      <c r="G222" s="225">
        <f t="shared" si="3"/>
        <v>1052.5</v>
      </c>
      <c r="H222">
        <v>842</v>
      </c>
    </row>
    <row r="223" spans="2:8" x14ac:dyDescent="0.3">
      <c r="B223" s="68" t="s">
        <v>821</v>
      </c>
      <c r="C223" s="227" t="s">
        <v>822</v>
      </c>
      <c r="D223" s="225">
        <v>1</v>
      </c>
      <c r="E223" s="225">
        <v>867</v>
      </c>
      <c r="F223" s="225">
        <v>28</v>
      </c>
      <c r="G223" s="225">
        <f t="shared" si="3"/>
        <v>780</v>
      </c>
      <c r="H223">
        <v>624</v>
      </c>
    </row>
    <row r="224" spans="2:8" x14ac:dyDescent="0.3">
      <c r="B224" s="68" t="s">
        <v>823</v>
      </c>
      <c r="C224" s="68" t="s">
        <v>824</v>
      </c>
      <c r="D224" s="225">
        <v>1</v>
      </c>
      <c r="E224" s="225">
        <v>2.4900000000000002</v>
      </c>
      <c r="F224" s="225">
        <v>28</v>
      </c>
      <c r="G224" s="225">
        <f t="shared" si="3"/>
        <v>2108.75</v>
      </c>
      <c r="H224">
        <v>1687</v>
      </c>
    </row>
    <row r="225" spans="2:8" x14ac:dyDescent="0.3">
      <c r="B225" s="68" t="s">
        <v>825</v>
      </c>
      <c r="C225" s="68" t="s">
        <v>826</v>
      </c>
      <c r="D225" s="225">
        <v>1</v>
      </c>
      <c r="E225" s="225">
        <v>190</v>
      </c>
      <c r="F225" s="225">
        <v>28</v>
      </c>
      <c r="G225" s="225">
        <f t="shared" si="3"/>
        <v>171.25</v>
      </c>
      <c r="H225">
        <v>137</v>
      </c>
    </row>
    <row r="226" spans="2:8" x14ac:dyDescent="0.3">
      <c r="B226" s="68" t="s">
        <v>827</v>
      </c>
      <c r="C226" s="68" t="s">
        <v>828</v>
      </c>
      <c r="D226" s="225">
        <v>1</v>
      </c>
      <c r="E226" s="225">
        <v>212</v>
      </c>
      <c r="F226" s="225">
        <v>28</v>
      </c>
      <c r="G226" s="225">
        <f t="shared" si="3"/>
        <v>191.25</v>
      </c>
      <c r="H226">
        <v>153</v>
      </c>
    </row>
    <row r="227" spans="2:8" x14ac:dyDescent="0.3">
      <c r="B227" s="68" t="s">
        <v>829</v>
      </c>
      <c r="C227" s="68" t="s">
        <v>830</v>
      </c>
      <c r="D227" s="225">
        <v>1</v>
      </c>
      <c r="E227" s="225">
        <v>279</v>
      </c>
      <c r="F227" s="225">
        <v>28</v>
      </c>
      <c r="G227" s="225">
        <f t="shared" si="3"/>
        <v>251.25</v>
      </c>
      <c r="H227">
        <v>201</v>
      </c>
    </row>
    <row r="228" spans="2:8" x14ac:dyDescent="0.3">
      <c r="B228" s="68" t="s">
        <v>831</v>
      </c>
      <c r="C228" s="68" t="s">
        <v>832</v>
      </c>
      <c r="D228" s="225">
        <v>1</v>
      </c>
      <c r="E228" s="225">
        <v>362</v>
      </c>
      <c r="F228" s="225">
        <v>28</v>
      </c>
      <c r="G228" s="225">
        <f t="shared" si="3"/>
        <v>326.25</v>
      </c>
      <c r="H228">
        <v>261</v>
      </c>
    </row>
    <row r="229" spans="2:8" x14ac:dyDescent="0.3">
      <c r="B229" s="68" t="s">
        <v>833</v>
      </c>
      <c r="C229" s="68" t="s">
        <v>834</v>
      </c>
      <c r="D229" s="225">
        <v>1</v>
      </c>
      <c r="E229" s="225">
        <v>215</v>
      </c>
      <c r="F229" s="225">
        <v>28</v>
      </c>
      <c r="G229" s="225">
        <f t="shared" si="3"/>
        <v>193.75</v>
      </c>
      <c r="H229">
        <v>155</v>
      </c>
    </row>
    <row r="230" spans="2:8" x14ac:dyDescent="0.3">
      <c r="B230" s="68" t="s">
        <v>835</v>
      </c>
      <c r="C230" s="68" t="s">
        <v>836</v>
      </c>
      <c r="D230" s="225">
        <v>1</v>
      </c>
      <c r="E230" s="225">
        <v>365</v>
      </c>
      <c r="F230" s="225">
        <v>28</v>
      </c>
      <c r="G230" s="225">
        <f t="shared" si="3"/>
        <v>328.75</v>
      </c>
      <c r="H230">
        <v>263</v>
      </c>
    </row>
    <row r="231" spans="2:8" x14ac:dyDescent="0.3">
      <c r="B231" s="68" t="s">
        <v>837</v>
      </c>
      <c r="C231" s="68" t="s">
        <v>838</v>
      </c>
      <c r="D231" s="225">
        <v>1</v>
      </c>
      <c r="E231" s="225">
        <v>423</v>
      </c>
      <c r="F231" s="225">
        <v>28</v>
      </c>
      <c r="G231" s="225">
        <f t="shared" si="3"/>
        <v>381.25</v>
      </c>
      <c r="H231">
        <v>305</v>
      </c>
    </row>
    <row r="232" spans="2:8" x14ac:dyDescent="0.3">
      <c r="B232" s="68" t="s">
        <v>839</v>
      </c>
      <c r="C232" s="68" t="s">
        <v>840</v>
      </c>
      <c r="D232" s="225">
        <v>1</v>
      </c>
      <c r="E232" s="225">
        <v>513</v>
      </c>
      <c r="F232" s="225">
        <v>28</v>
      </c>
      <c r="G232" s="225">
        <f t="shared" si="3"/>
        <v>461.25</v>
      </c>
      <c r="H232">
        <v>369</v>
      </c>
    </row>
    <row r="233" spans="2:8" x14ac:dyDescent="0.3">
      <c r="B233" s="68" t="s">
        <v>841</v>
      </c>
      <c r="C233" s="68" t="s">
        <v>842</v>
      </c>
      <c r="D233" s="225">
        <v>1</v>
      </c>
      <c r="E233" s="225">
        <v>818</v>
      </c>
      <c r="F233" s="225">
        <v>28</v>
      </c>
      <c r="G233" s="225">
        <f t="shared" si="3"/>
        <v>736.25</v>
      </c>
      <c r="H233">
        <v>589</v>
      </c>
    </row>
    <row r="234" spans="2:8" x14ac:dyDescent="0.3">
      <c r="B234" s="68" t="s">
        <v>843</v>
      </c>
      <c r="C234" s="68" t="s">
        <v>844</v>
      </c>
      <c r="D234" s="225">
        <v>1</v>
      </c>
      <c r="E234" s="225">
        <v>326</v>
      </c>
      <c r="F234" s="225">
        <v>28</v>
      </c>
      <c r="G234" s="225">
        <f t="shared" si="3"/>
        <v>293.75</v>
      </c>
      <c r="H234">
        <v>235</v>
      </c>
    </row>
    <row r="235" spans="2:8" x14ac:dyDescent="0.3">
      <c r="B235" s="68" t="s">
        <v>845</v>
      </c>
      <c r="C235" s="68" t="s">
        <v>846</v>
      </c>
      <c r="D235" s="225">
        <v>1</v>
      </c>
      <c r="E235" s="225">
        <v>597</v>
      </c>
      <c r="F235" s="225">
        <v>28</v>
      </c>
      <c r="G235" s="225">
        <f t="shared" si="3"/>
        <v>537.5</v>
      </c>
      <c r="H235">
        <v>430</v>
      </c>
    </row>
    <row r="236" spans="2:8" x14ac:dyDescent="0.3">
      <c r="B236" s="68" t="s">
        <v>847</v>
      </c>
      <c r="C236" s="68" t="s">
        <v>848</v>
      </c>
      <c r="D236" s="225">
        <v>1</v>
      </c>
      <c r="E236" s="225">
        <v>984</v>
      </c>
      <c r="F236" s="225">
        <v>28</v>
      </c>
      <c r="G236" s="225">
        <f t="shared" si="3"/>
        <v>885</v>
      </c>
      <c r="H236">
        <v>708</v>
      </c>
    </row>
    <row r="237" spans="2:8" x14ac:dyDescent="0.3">
      <c r="B237" s="68" t="s">
        <v>849</v>
      </c>
      <c r="C237" s="68" t="s">
        <v>850</v>
      </c>
      <c r="D237" s="225">
        <v>1</v>
      </c>
      <c r="E237" s="225">
        <v>1469</v>
      </c>
      <c r="F237" s="225">
        <v>28</v>
      </c>
      <c r="G237" s="225">
        <f t="shared" si="3"/>
        <v>1322.5</v>
      </c>
      <c r="H237">
        <v>1058</v>
      </c>
    </row>
    <row r="238" spans="2:8" x14ac:dyDescent="0.3">
      <c r="B238" s="68" t="s">
        <v>851</v>
      </c>
      <c r="C238" s="68" t="s">
        <v>852</v>
      </c>
      <c r="D238" s="225">
        <v>1</v>
      </c>
      <c r="E238" s="225">
        <v>936</v>
      </c>
      <c r="F238" s="225">
        <v>28</v>
      </c>
      <c r="G238" s="225">
        <f t="shared" si="3"/>
        <v>842.5</v>
      </c>
      <c r="H238">
        <v>674</v>
      </c>
    </row>
    <row r="239" spans="2:8" x14ac:dyDescent="0.3">
      <c r="B239" s="68" t="s">
        <v>853</v>
      </c>
      <c r="C239" s="68" t="s">
        <v>854</v>
      </c>
      <c r="D239" s="225">
        <v>1</v>
      </c>
      <c r="E239" s="225">
        <v>602</v>
      </c>
      <c r="F239" s="225">
        <v>28</v>
      </c>
      <c r="G239" s="225">
        <f t="shared" si="3"/>
        <v>541.25</v>
      </c>
      <c r="H239">
        <v>433</v>
      </c>
    </row>
    <row r="240" spans="2:8" x14ac:dyDescent="0.3">
      <c r="B240" s="68" t="s">
        <v>855</v>
      </c>
      <c r="C240" s="68" t="s">
        <v>856</v>
      </c>
      <c r="D240" s="225">
        <v>1</v>
      </c>
      <c r="E240" s="225">
        <v>836</v>
      </c>
      <c r="F240" s="225">
        <v>28</v>
      </c>
      <c r="G240" s="225">
        <f t="shared" si="3"/>
        <v>752.5</v>
      </c>
      <c r="H240">
        <v>602</v>
      </c>
    </row>
    <row r="241" spans="2:8" x14ac:dyDescent="0.3">
      <c r="B241" s="68" t="s">
        <v>857</v>
      </c>
      <c r="C241" s="68" t="s">
        <v>858</v>
      </c>
      <c r="D241" s="225">
        <v>1</v>
      </c>
      <c r="E241" s="225">
        <v>2118</v>
      </c>
      <c r="F241" s="225">
        <v>28</v>
      </c>
      <c r="G241" s="225">
        <f t="shared" si="3"/>
        <v>1906.25</v>
      </c>
      <c r="H241">
        <v>1525</v>
      </c>
    </row>
    <row r="242" spans="2:8" x14ac:dyDescent="0.3">
      <c r="B242" s="68" t="s">
        <v>859</v>
      </c>
      <c r="C242" s="68" t="s">
        <v>860</v>
      </c>
      <c r="D242" s="225">
        <v>1</v>
      </c>
      <c r="E242" s="225">
        <v>2800</v>
      </c>
      <c r="F242" s="225">
        <v>28</v>
      </c>
      <c r="G242" s="225">
        <f t="shared" si="3"/>
        <v>2520</v>
      </c>
      <c r="H242">
        <v>2016</v>
      </c>
    </row>
    <row r="243" spans="2:8" x14ac:dyDescent="0.3">
      <c r="B243" s="68" t="s">
        <v>861</v>
      </c>
      <c r="C243" s="68" t="s">
        <v>862</v>
      </c>
      <c r="D243" s="225">
        <v>1</v>
      </c>
      <c r="E243" s="225">
        <v>3398</v>
      </c>
      <c r="F243" s="225">
        <v>28</v>
      </c>
      <c r="G243" s="225">
        <f t="shared" si="3"/>
        <v>3058.75</v>
      </c>
      <c r="H243">
        <v>2447</v>
      </c>
    </row>
    <row r="244" spans="2:8" x14ac:dyDescent="0.3">
      <c r="B244" s="68" t="s">
        <v>863</v>
      </c>
      <c r="C244" s="68" t="s">
        <v>864</v>
      </c>
      <c r="D244" s="225">
        <v>1</v>
      </c>
      <c r="E244" s="225">
        <v>4971</v>
      </c>
      <c r="F244" s="225">
        <v>28</v>
      </c>
      <c r="G244" s="225">
        <f t="shared" si="3"/>
        <v>4473.75</v>
      </c>
      <c r="H244">
        <v>3579</v>
      </c>
    </row>
    <row r="245" spans="2:8" x14ac:dyDescent="0.3">
      <c r="B245" s="68" t="s">
        <v>865</v>
      </c>
      <c r="C245" s="68" t="s">
        <v>866</v>
      </c>
      <c r="D245" s="225">
        <v>1</v>
      </c>
      <c r="E245" s="225">
        <v>7456</v>
      </c>
      <c r="F245" s="225">
        <v>28</v>
      </c>
      <c r="G245" s="225">
        <f t="shared" si="3"/>
        <v>6710</v>
      </c>
      <c r="H245">
        <v>5368</v>
      </c>
    </row>
    <row r="246" spans="2:8" x14ac:dyDescent="0.3">
      <c r="B246" s="68" t="s">
        <v>867</v>
      </c>
      <c r="C246" s="68" t="s">
        <v>868</v>
      </c>
      <c r="D246" s="225">
        <v>1</v>
      </c>
      <c r="E246" s="225">
        <v>47343</v>
      </c>
      <c r="F246" s="225">
        <v>28</v>
      </c>
      <c r="G246" s="225">
        <f t="shared" si="3"/>
        <v>42608.75</v>
      </c>
      <c r="H246">
        <v>34087</v>
      </c>
    </row>
    <row r="247" spans="2:8" x14ac:dyDescent="0.3">
      <c r="B247" s="68" t="s">
        <v>869</v>
      </c>
      <c r="C247" s="68" t="s">
        <v>870</v>
      </c>
      <c r="D247" s="225">
        <v>1</v>
      </c>
      <c r="E247" s="225">
        <v>56159</v>
      </c>
      <c r="F247" s="225">
        <v>28</v>
      </c>
      <c r="G247" s="225">
        <f t="shared" si="3"/>
        <v>50542.5</v>
      </c>
      <c r="H247">
        <v>40434</v>
      </c>
    </row>
    <row r="248" spans="2:8" x14ac:dyDescent="0.3">
      <c r="B248" s="68" t="s">
        <v>871</v>
      </c>
      <c r="C248" s="68" t="s">
        <v>872</v>
      </c>
      <c r="D248" s="225">
        <v>1</v>
      </c>
      <c r="E248" s="225">
        <v>71558</v>
      </c>
      <c r="F248" s="225">
        <v>28</v>
      </c>
      <c r="G248" s="225">
        <f t="shared" si="3"/>
        <v>64402.5</v>
      </c>
      <c r="H248">
        <v>51522</v>
      </c>
    </row>
    <row r="249" spans="2:8" x14ac:dyDescent="0.3">
      <c r="B249" s="68" t="s">
        <v>873</v>
      </c>
      <c r="C249" s="227" t="s">
        <v>874</v>
      </c>
      <c r="D249" s="225">
        <v>1</v>
      </c>
      <c r="E249" s="225">
        <v>214.31</v>
      </c>
      <c r="F249" s="225">
        <v>28</v>
      </c>
      <c r="G249" s="225">
        <f t="shared" si="3"/>
        <v>181747.5</v>
      </c>
      <c r="H249">
        <v>145398</v>
      </c>
    </row>
    <row r="250" spans="2:8" x14ac:dyDescent="0.3">
      <c r="B250" s="68" t="s">
        <v>875</v>
      </c>
      <c r="C250" s="227" t="s">
        <v>876</v>
      </c>
      <c r="D250" s="225">
        <v>1</v>
      </c>
      <c r="E250" s="225">
        <v>271.58999999999997</v>
      </c>
      <c r="F250" s="225">
        <v>28</v>
      </c>
      <c r="G250" s="225">
        <f t="shared" si="3"/>
        <v>230323.75</v>
      </c>
      <c r="H250">
        <v>184259</v>
      </c>
    </row>
    <row r="251" spans="2:8" x14ac:dyDescent="0.3">
      <c r="B251" s="68" t="s">
        <v>877</v>
      </c>
      <c r="C251" s="227" t="s">
        <v>878</v>
      </c>
      <c r="D251" s="225">
        <v>1</v>
      </c>
      <c r="E251" s="225">
        <v>125.65</v>
      </c>
      <c r="F251" s="225">
        <v>28</v>
      </c>
      <c r="G251" s="225">
        <f t="shared" si="3"/>
        <v>106563.75</v>
      </c>
      <c r="H251">
        <v>85251</v>
      </c>
    </row>
    <row r="252" spans="2:8" x14ac:dyDescent="0.3">
      <c r="B252" s="68" t="s">
        <v>879</v>
      </c>
      <c r="C252" s="227" t="s">
        <v>880</v>
      </c>
      <c r="D252" s="225">
        <v>1</v>
      </c>
      <c r="E252" s="225">
        <v>116.6</v>
      </c>
      <c r="F252" s="225">
        <v>28</v>
      </c>
      <c r="G252" s="225">
        <f t="shared" si="3"/>
        <v>98883.75</v>
      </c>
      <c r="H252">
        <v>79107</v>
      </c>
    </row>
    <row r="253" spans="2:8" x14ac:dyDescent="0.3">
      <c r="B253" s="68" t="s">
        <v>881</v>
      </c>
      <c r="C253" s="227" t="s">
        <v>882</v>
      </c>
      <c r="D253" s="225">
        <v>1</v>
      </c>
      <c r="E253" s="225">
        <v>177.77</v>
      </c>
      <c r="F253" s="225">
        <v>28</v>
      </c>
      <c r="G253" s="225">
        <f t="shared" si="3"/>
        <v>150757.5</v>
      </c>
      <c r="H253">
        <v>120606</v>
      </c>
    </row>
    <row r="254" spans="2:8" x14ac:dyDescent="0.3">
      <c r="B254" s="68" t="s">
        <v>883</v>
      </c>
      <c r="C254" s="227" t="s">
        <v>884</v>
      </c>
      <c r="D254" s="225">
        <v>1</v>
      </c>
      <c r="E254" s="225">
        <v>152.12</v>
      </c>
      <c r="F254" s="225">
        <v>28</v>
      </c>
      <c r="G254" s="225">
        <f t="shared" si="3"/>
        <v>129013.75</v>
      </c>
      <c r="H254">
        <v>103211</v>
      </c>
    </row>
    <row r="255" spans="2:8" x14ac:dyDescent="0.3">
      <c r="B255" s="68" t="s">
        <v>885</v>
      </c>
      <c r="C255" s="227" t="s">
        <v>886</v>
      </c>
      <c r="D255" s="225">
        <v>1</v>
      </c>
      <c r="E255" s="225">
        <v>71.349999999999994</v>
      </c>
      <c r="F255" s="225">
        <v>28</v>
      </c>
      <c r="G255" s="225">
        <f t="shared" si="3"/>
        <v>60507.5</v>
      </c>
      <c r="H255">
        <v>48406</v>
      </c>
    </row>
    <row r="256" spans="2:8" x14ac:dyDescent="0.3">
      <c r="B256" s="68" t="s">
        <v>887</v>
      </c>
      <c r="C256" s="227" t="s">
        <v>888</v>
      </c>
      <c r="D256" s="225">
        <v>1</v>
      </c>
      <c r="E256" s="225">
        <v>317.49</v>
      </c>
      <c r="F256" s="225">
        <v>28</v>
      </c>
      <c r="G256" s="225">
        <f t="shared" si="3"/>
        <v>269253.75</v>
      </c>
      <c r="H256">
        <v>215403</v>
      </c>
    </row>
    <row r="257" spans="2:8" x14ac:dyDescent="0.3">
      <c r="B257" s="68" t="s">
        <v>889</v>
      </c>
      <c r="C257" s="227" t="s">
        <v>890</v>
      </c>
      <c r="D257" s="225">
        <v>1</v>
      </c>
      <c r="E257" s="225">
        <v>529.27</v>
      </c>
      <c r="F257" s="225">
        <v>28</v>
      </c>
      <c r="G257" s="225">
        <f t="shared" si="3"/>
        <v>448857.5</v>
      </c>
      <c r="H257">
        <v>359086</v>
      </c>
    </row>
    <row r="258" spans="2:8" x14ac:dyDescent="0.3">
      <c r="B258" s="68" t="s">
        <v>891</v>
      </c>
      <c r="C258" s="227" t="s">
        <v>892</v>
      </c>
      <c r="D258" s="225">
        <v>1</v>
      </c>
      <c r="E258" s="225">
        <v>693.65</v>
      </c>
      <c r="F258" s="225">
        <v>28</v>
      </c>
      <c r="G258" s="225">
        <f t="shared" si="3"/>
        <v>588272.5</v>
      </c>
      <c r="H258">
        <v>470618</v>
      </c>
    </row>
    <row r="259" spans="2:8" x14ac:dyDescent="0.3">
      <c r="B259" s="68" t="s">
        <v>893</v>
      </c>
      <c r="C259" s="227" t="s">
        <v>894</v>
      </c>
      <c r="D259" s="225">
        <v>1</v>
      </c>
      <c r="E259" s="226" t="s">
        <v>1098</v>
      </c>
      <c r="F259" s="225">
        <v>28</v>
      </c>
      <c r="G259" s="225">
        <f t="shared" si="3"/>
        <v>1836043.75</v>
      </c>
      <c r="H259">
        <v>1468835</v>
      </c>
    </row>
    <row r="260" spans="2:8" x14ac:dyDescent="0.3">
      <c r="B260" s="68" t="s">
        <v>895</v>
      </c>
      <c r="C260" s="227" t="s">
        <v>896</v>
      </c>
      <c r="D260" s="225">
        <v>1</v>
      </c>
      <c r="E260" s="226" t="s">
        <v>1099</v>
      </c>
      <c r="F260" s="225">
        <v>28</v>
      </c>
      <c r="G260" s="225">
        <f t="shared" si="3"/>
        <v>1503396.25</v>
      </c>
      <c r="H260">
        <v>1202717</v>
      </c>
    </row>
    <row r="261" spans="2:8" x14ac:dyDescent="0.3">
      <c r="B261" s="68" t="s">
        <v>897</v>
      </c>
      <c r="C261" s="227" t="s">
        <v>898</v>
      </c>
      <c r="D261" s="225">
        <v>1</v>
      </c>
      <c r="E261" s="226" t="s">
        <v>1100</v>
      </c>
      <c r="F261" s="225">
        <v>28</v>
      </c>
      <c r="G261" s="225">
        <f t="shared" si="3"/>
        <v>1536460</v>
      </c>
      <c r="H261">
        <v>1229168</v>
      </c>
    </row>
    <row r="262" spans="2:8" x14ac:dyDescent="0.3">
      <c r="B262" s="68" t="s">
        <v>899</v>
      </c>
      <c r="C262" s="227" t="s">
        <v>900</v>
      </c>
      <c r="D262" s="225">
        <v>1</v>
      </c>
      <c r="E262" s="226" t="s">
        <v>1101</v>
      </c>
      <c r="F262" s="225">
        <v>28</v>
      </c>
      <c r="G262" s="225">
        <f t="shared" si="3"/>
        <v>1120053.75</v>
      </c>
      <c r="H262">
        <v>896043</v>
      </c>
    </row>
    <row r="263" spans="2:8" x14ac:dyDescent="0.3">
      <c r="B263" s="68" t="s">
        <v>901</v>
      </c>
      <c r="C263" s="227" t="s">
        <v>902</v>
      </c>
      <c r="D263" s="225">
        <v>1</v>
      </c>
      <c r="E263" s="225">
        <v>143.07</v>
      </c>
      <c r="F263" s="225">
        <v>28</v>
      </c>
      <c r="G263" s="225">
        <f t="shared" ref="G263:G326" si="4">H263*1.25</f>
        <v>121333.75</v>
      </c>
      <c r="H263">
        <v>97067</v>
      </c>
    </row>
    <row r="264" spans="2:8" x14ac:dyDescent="0.3">
      <c r="B264" s="68" t="s">
        <v>903</v>
      </c>
      <c r="C264" s="227" t="s">
        <v>904</v>
      </c>
      <c r="D264" s="225">
        <v>1</v>
      </c>
      <c r="E264" s="225">
        <v>54.99</v>
      </c>
      <c r="F264" s="225">
        <v>28</v>
      </c>
      <c r="G264" s="225">
        <f t="shared" si="4"/>
        <v>46632.5</v>
      </c>
      <c r="H264">
        <v>37306</v>
      </c>
    </row>
    <row r="265" spans="2:8" x14ac:dyDescent="0.3">
      <c r="B265" s="68" t="s">
        <v>905</v>
      </c>
      <c r="C265" s="227" t="s">
        <v>906</v>
      </c>
      <c r="D265" s="225">
        <v>1</v>
      </c>
      <c r="E265" s="225">
        <v>1.73</v>
      </c>
      <c r="F265" s="225">
        <v>28</v>
      </c>
      <c r="G265" s="225">
        <f t="shared" si="4"/>
        <v>1472.5</v>
      </c>
      <c r="H265">
        <v>1178</v>
      </c>
    </row>
    <row r="266" spans="2:8" x14ac:dyDescent="0.3">
      <c r="B266" s="68" t="s">
        <v>907</v>
      </c>
      <c r="C266" s="68" t="s">
        <v>908</v>
      </c>
      <c r="D266" s="225">
        <v>1</v>
      </c>
      <c r="E266" s="225">
        <v>1.26</v>
      </c>
      <c r="F266" s="225">
        <v>28</v>
      </c>
      <c r="G266" s="225">
        <f t="shared" si="4"/>
        <v>1072.5</v>
      </c>
      <c r="H266">
        <v>858</v>
      </c>
    </row>
    <row r="267" spans="2:8" x14ac:dyDescent="0.3">
      <c r="B267" s="68" t="s">
        <v>909</v>
      </c>
      <c r="C267" s="68" t="s">
        <v>910</v>
      </c>
      <c r="D267" s="225">
        <v>1</v>
      </c>
      <c r="E267" s="225">
        <v>272</v>
      </c>
      <c r="F267" s="225">
        <v>28</v>
      </c>
      <c r="G267" s="225">
        <f t="shared" si="4"/>
        <v>245</v>
      </c>
      <c r="H267">
        <v>196</v>
      </c>
    </row>
    <row r="268" spans="2:8" x14ac:dyDescent="0.3">
      <c r="B268" s="68" t="s">
        <v>911</v>
      </c>
      <c r="C268" s="68" t="s">
        <v>912</v>
      </c>
      <c r="D268" s="225">
        <v>1</v>
      </c>
      <c r="E268" s="225">
        <v>987</v>
      </c>
      <c r="F268" s="225">
        <v>28</v>
      </c>
      <c r="G268" s="225">
        <f t="shared" si="4"/>
        <v>888.75</v>
      </c>
      <c r="H268">
        <v>711</v>
      </c>
    </row>
    <row r="269" spans="2:8" x14ac:dyDescent="0.3">
      <c r="B269" s="68" t="s">
        <v>913</v>
      </c>
      <c r="C269" s="68" t="s">
        <v>914</v>
      </c>
      <c r="D269" s="225">
        <v>1</v>
      </c>
      <c r="E269" s="225">
        <v>1.22</v>
      </c>
      <c r="F269" s="225">
        <v>28</v>
      </c>
      <c r="G269" s="225">
        <f t="shared" si="4"/>
        <v>1036.25</v>
      </c>
      <c r="H269">
        <v>829</v>
      </c>
    </row>
    <row r="270" spans="2:8" x14ac:dyDescent="0.3">
      <c r="B270" s="68" t="s">
        <v>915</v>
      </c>
      <c r="C270" s="68" t="s">
        <v>916</v>
      </c>
      <c r="D270" s="225">
        <v>1</v>
      </c>
      <c r="E270" s="225">
        <v>1724</v>
      </c>
      <c r="F270" s="225">
        <v>28</v>
      </c>
      <c r="G270" s="225">
        <f t="shared" si="4"/>
        <v>1551.25</v>
      </c>
      <c r="H270">
        <v>1241</v>
      </c>
    </row>
    <row r="271" spans="2:8" x14ac:dyDescent="0.3">
      <c r="B271" s="68" t="s">
        <v>917</v>
      </c>
      <c r="C271" s="68" t="s">
        <v>918</v>
      </c>
      <c r="D271" s="225">
        <v>1</v>
      </c>
      <c r="E271" s="225">
        <v>2539</v>
      </c>
      <c r="F271" s="225">
        <v>28</v>
      </c>
      <c r="G271" s="225">
        <f t="shared" si="4"/>
        <v>2285</v>
      </c>
      <c r="H271">
        <v>1828</v>
      </c>
    </row>
    <row r="272" spans="2:8" x14ac:dyDescent="0.3">
      <c r="B272" s="68" t="s">
        <v>919</v>
      </c>
      <c r="C272" s="68" t="s">
        <v>920</v>
      </c>
      <c r="D272" s="225">
        <v>1</v>
      </c>
      <c r="E272" s="225">
        <v>286</v>
      </c>
      <c r="F272" s="225">
        <v>28</v>
      </c>
      <c r="G272" s="225">
        <f t="shared" si="4"/>
        <v>257.5</v>
      </c>
      <c r="H272">
        <v>206</v>
      </c>
    </row>
    <row r="273" spans="2:8" x14ac:dyDescent="0.3">
      <c r="B273" s="68" t="s">
        <v>921</v>
      </c>
      <c r="C273" s="68" t="s">
        <v>922</v>
      </c>
      <c r="D273" s="225">
        <v>1</v>
      </c>
      <c r="E273" s="225">
        <v>1.1100000000000001</v>
      </c>
      <c r="F273" s="225">
        <v>28</v>
      </c>
      <c r="G273" s="225">
        <f t="shared" si="4"/>
        <v>942.5</v>
      </c>
      <c r="H273">
        <v>754</v>
      </c>
    </row>
    <row r="274" spans="2:8" x14ac:dyDescent="0.3">
      <c r="B274" s="68" t="s">
        <v>923</v>
      </c>
      <c r="C274" s="68" t="s">
        <v>924</v>
      </c>
      <c r="D274" s="225">
        <v>1</v>
      </c>
      <c r="E274" s="225">
        <v>2.0099999999999998</v>
      </c>
      <c r="F274" s="225">
        <v>28</v>
      </c>
      <c r="G274" s="225">
        <f t="shared" si="4"/>
        <v>1707.5</v>
      </c>
      <c r="H274">
        <v>1366</v>
      </c>
    </row>
    <row r="275" spans="2:8" x14ac:dyDescent="0.3">
      <c r="B275" s="68" t="s">
        <v>925</v>
      </c>
      <c r="C275" s="68" t="s">
        <v>926</v>
      </c>
      <c r="D275" s="225">
        <v>1</v>
      </c>
      <c r="E275" s="225">
        <v>2401</v>
      </c>
      <c r="F275" s="225">
        <v>28</v>
      </c>
      <c r="G275" s="225">
        <f t="shared" si="4"/>
        <v>2161.25</v>
      </c>
      <c r="H275">
        <v>1729</v>
      </c>
    </row>
    <row r="276" spans="2:8" x14ac:dyDescent="0.3">
      <c r="B276" s="68" t="s">
        <v>927</v>
      </c>
      <c r="C276" s="68" t="s">
        <v>928</v>
      </c>
      <c r="D276" s="225">
        <v>1</v>
      </c>
      <c r="E276" s="225">
        <v>18451</v>
      </c>
      <c r="F276" s="225">
        <v>28</v>
      </c>
      <c r="G276" s="225">
        <f t="shared" si="4"/>
        <v>16606.25</v>
      </c>
      <c r="H276">
        <v>13285</v>
      </c>
    </row>
    <row r="277" spans="2:8" x14ac:dyDescent="0.3">
      <c r="B277" s="68" t="s">
        <v>929</v>
      </c>
      <c r="C277" s="68" t="s">
        <v>930</v>
      </c>
      <c r="D277" s="225">
        <v>1</v>
      </c>
      <c r="E277" s="225">
        <v>858</v>
      </c>
      <c r="F277" s="225">
        <v>28</v>
      </c>
      <c r="G277" s="225">
        <f t="shared" si="4"/>
        <v>772.5</v>
      </c>
      <c r="H277">
        <v>618</v>
      </c>
    </row>
    <row r="278" spans="2:8" x14ac:dyDescent="0.3">
      <c r="B278" s="68" t="s">
        <v>931</v>
      </c>
      <c r="C278" s="68" t="s">
        <v>932</v>
      </c>
      <c r="D278" s="225">
        <v>1</v>
      </c>
      <c r="E278" s="225">
        <v>4.83</v>
      </c>
      <c r="F278" s="225">
        <v>28</v>
      </c>
      <c r="G278" s="225">
        <f t="shared" si="4"/>
        <v>4098.75</v>
      </c>
      <c r="H278">
        <v>3279</v>
      </c>
    </row>
    <row r="279" spans="2:8" x14ac:dyDescent="0.3">
      <c r="B279" s="68" t="s">
        <v>933</v>
      </c>
      <c r="C279" s="68" t="s">
        <v>934</v>
      </c>
      <c r="D279" s="225">
        <v>1</v>
      </c>
      <c r="E279" s="225">
        <v>4.0199999999999996</v>
      </c>
      <c r="F279" s="225">
        <v>28</v>
      </c>
      <c r="G279" s="225">
        <f t="shared" si="4"/>
        <v>3403.75</v>
      </c>
      <c r="H279">
        <v>2723</v>
      </c>
    </row>
    <row r="280" spans="2:8" x14ac:dyDescent="0.3">
      <c r="B280" s="68" t="s">
        <v>935</v>
      </c>
      <c r="C280" s="227" t="s">
        <v>936</v>
      </c>
      <c r="D280" s="225">
        <v>1</v>
      </c>
      <c r="E280" s="225">
        <v>12.07</v>
      </c>
      <c r="F280" s="225">
        <v>28</v>
      </c>
      <c r="G280" s="225">
        <f t="shared" si="4"/>
        <v>10236.25</v>
      </c>
      <c r="H280">
        <v>8189</v>
      </c>
    </row>
    <row r="281" spans="2:8" x14ac:dyDescent="0.3">
      <c r="B281" s="68" t="s">
        <v>937</v>
      </c>
      <c r="C281" s="68" t="s">
        <v>938</v>
      </c>
      <c r="D281" s="225">
        <v>1</v>
      </c>
      <c r="E281" s="225">
        <v>24.15</v>
      </c>
      <c r="F281" s="225">
        <v>28</v>
      </c>
      <c r="G281" s="225">
        <f t="shared" si="4"/>
        <v>20483.75</v>
      </c>
      <c r="H281">
        <v>16387</v>
      </c>
    </row>
    <row r="282" spans="2:8" x14ac:dyDescent="0.3">
      <c r="B282" s="68" t="s">
        <v>939</v>
      </c>
      <c r="C282" s="68" t="s">
        <v>940</v>
      </c>
      <c r="D282" s="225">
        <v>1</v>
      </c>
      <c r="E282" s="225">
        <v>15.29</v>
      </c>
      <c r="F282" s="225">
        <v>28</v>
      </c>
      <c r="G282" s="225">
        <f t="shared" si="4"/>
        <v>12968.75</v>
      </c>
      <c r="H282">
        <v>10375</v>
      </c>
    </row>
    <row r="283" spans="2:8" x14ac:dyDescent="0.3">
      <c r="B283" s="68" t="s">
        <v>941</v>
      </c>
      <c r="C283" s="68" t="s">
        <v>942</v>
      </c>
      <c r="D283" s="225">
        <v>1</v>
      </c>
      <c r="E283" s="225">
        <v>20.12</v>
      </c>
      <c r="F283" s="225">
        <v>28</v>
      </c>
      <c r="G283" s="225">
        <f t="shared" si="4"/>
        <v>17067.5</v>
      </c>
      <c r="H283">
        <v>13654</v>
      </c>
    </row>
    <row r="284" spans="2:8" x14ac:dyDescent="0.3">
      <c r="B284" s="68" t="s">
        <v>943</v>
      </c>
      <c r="C284" s="68" t="s">
        <v>944</v>
      </c>
      <c r="D284" s="225">
        <v>1</v>
      </c>
      <c r="E284" s="225">
        <v>23.34</v>
      </c>
      <c r="F284" s="225">
        <v>28</v>
      </c>
      <c r="G284" s="225">
        <f t="shared" si="4"/>
        <v>19788.75</v>
      </c>
      <c r="H284">
        <v>15831</v>
      </c>
    </row>
    <row r="285" spans="2:8" x14ac:dyDescent="0.3">
      <c r="B285" s="68" t="s">
        <v>945</v>
      </c>
      <c r="C285" s="68" t="s">
        <v>946</v>
      </c>
      <c r="D285" s="225">
        <v>1</v>
      </c>
      <c r="E285" s="225">
        <v>2584</v>
      </c>
      <c r="F285" s="225">
        <v>28</v>
      </c>
      <c r="G285" s="225">
        <f t="shared" si="4"/>
        <v>2325</v>
      </c>
      <c r="H285">
        <v>1860</v>
      </c>
    </row>
    <row r="286" spans="2:8" x14ac:dyDescent="0.3">
      <c r="B286" s="68" t="s">
        <v>947</v>
      </c>
      <c r="C286" s="68" t="s">
        <v>948</v>
      </c>
      <c r="D286" s="225">
        <v>1</v>
      </c>
      <c r="E286" s="225">
        <v>437</v>
      </c>
      <c r="F286" s="225">
        <v>28</v>
      </c>
      <c r="G286" s="225">
        <f t="shared" si="4"/>
        <v>393.75</v>
      </c>
      <c r="H286">
        <v>315</v>
      </c>
    </row>
    <row r="287" spans="2:8" x14ac:dyDescent="0.3">
      <c r="B287" s="68" t="s">
        <v>949</v>
      </c>
      <c r="C287" s="68" t="s">
        <v>950</v>
      </c>
      <c r="D287" s="225">
        <v>1</v>
      </c>
      <c r="E287" s="225">
        <v>1.3</v>
      </c>
      <c r="F287" s="225">
        <v>28</v>
      </c>
      <c r="G287" s="225">
        <f t="shared" si="4"/>
        <v>1107.5</v>
      </c>
      <c r="H287">
        <v>886</v>
      </c>
    </row>
    <row r="288" spans="2:8" x14ac:dyDescent="0.3">
      <c r="B288" s="68" t="s">
        <v>951</v>
      </c>
      <c r="C288" s="68" t="s">
        <v>952</v>
      </c>
      <c r="D288" s="225">
        <v>1</v>
      </c>
      <c r="E288" s="225">
        <v>2445</v>
      </c>
      <c r="F288" s="225">
        <v>28</v>
      </c>
      <c r="G288" s="225">
        <f t="shared" si="4"/>
        <v>2200</v>
      </c>
      <c r="H288">
        <v>1760</v>
      </c>
    </row>
    <row r="289" spans="2:8" x14ac:dyDescent="0.3">
      <c r="B289" s="68" t="s">
        <v>953</v>
      </c>
      <c r="C289" s="68" t="s">
        <v>954</v>
      </c>
      <c r="D289" s="225">
        <v>1</v>
      </c>
      <c r="E289" s="225">
        <v>3314</v>
      </c>
      <c r="F289" s="225">
        <v>28</v>
      </c>
      <c r="G289" s="225">
        <f t="shared" si="4"/>
        <v>2982.5</v>
      </c>
      <c r="H289">
        <v>2386</v>
      </c>
    </row>
    <row r="290" spans="2:8" x14ac:dyDescent="0.3">
      <c r="B290" s="68" t="s">
        <v>955</v>
      </c>
      <c r="C290" s="227" t="s">
        <v>956</v>
      </c>
      <c r="D290" s="225">
        <v>1</v>
      </c>
      <c r="E290" s="225">
        <v>63.58</v>
      </c>
      <c r="F290" s="225">
        <v>28</v>
      </c>
      <c r="G290" s="225">
        <f t="shared" si="4"/>
        <v>53923.75</v>
      </c>
      <c r="H290">
        <v>43139</v>
      </c>
    </row>
    <row r="291" spans="2:8" x14ac:dyDescent="0.3">
      <c r="B291" s="68" t="s">
        <v>957</v>
      </c>
      <c r="C291" s="68" t="s">
        <v>958</v>
      </c>
      <c r="D291" s="225">
        <v>1</v>
      </c>
      <c r="E291" s="225">
        <v>13.7</v>
      </c>
      <c r="F291" s="225">
        <v>28</v>
      </c>
      <c r="G291" s="225">
        <f t="shared" si="4"/>
        <v>11613.75</v>
      </c>
      <c r="H291">
        <v>9291</v>
      </c>
    </row>
    <row r="292" spans="2:8" x14ac:dyDescent="0.3">
      <c r="B292" s="68" t="s">
        <v>959</v>
      </c>
      <c r="C292" s="68" t="s">
        <v>960</v>
      </c>
      <c r="D292" s="225">
        <v>1</v>
      </c>
      <c r="E292" s="225">
        <v>3.77</v>
      </c>
      <c r="F292" s="225">
        <v>28</v>
      </c>
      <c r="G292" s="225">
        <f t="shared" si="4"/>
        <v>3192.5</v>
      </c>
      <c r="H292">
        <v>2554</v>
      </c>
    </row>
    <row r="293" spans="2:8" x14ac:dyDescent="0.3">
      <c r="B293" s="68" t="s">
        <v>961</v>
      </c>
      <c r="C293" s="68" t="s">
        <v>962</v>
      </c>
      <c r="D293" s="225">
        <v>1</v>
      </c>
      <c r="E293" s="225">
        <v>5.18</v>
      </c>
      <c r="F293" s="225">
        <v>28</v>
      </c>
      <c r="G293" s="225">
        <f t="shared" si="4"/>
        <v>4393.75</v>
      </c>
      <c r="H293">
        <v>3515</v>
      </c>
    </row>
    <row r="294" spans="2:8" x14ac:dyDescent="0.3">
      <c r="B294" s="68" t="s">
        <v>963</v>
      </c>
      <c r="C294" s="68" t="s">
        <v>964</v>
      </c>
      <c r="D294" s="225">
        <v>1</v>
      </c>
      <c r="E294" s="225">
        <v>24.21</v>
      </c>
      <c r="F294" s="225">
        <v>28</v>
      </c>
      <c r="G294" s="225">
        <f t="shared" si="4"/>
        <v>20530</v>
      </c>
      <c r="H294">
        <v>16424</v>
      </c>
    </row>
    <row r="295" spans="2:8" x14ac:dyDescent="0.3">
      <c r="B295" s="68" t="s">
        <v>965</v>
      </c>
      <c r="C295" s="68" t="s">
        <v>966</v>
      </c>
      <c r="D295" s="225">
        <v>1</v>
      </c>
      <c r="E295" s="225">
        <v>5.0999999999999996</v>
      </c>
      <c r="F295" s="225">
        <v>28</v>
      </c>
      <c r="G295" s="225">
        <f t="shared" si="4"/>
        <v>4322.5</v>
      </c>
      <c r="H295">
        <v>3458</v>
      </c>
    </row>
    <row r="296" spans="2:8" x14ac:dyDescent="0.3">
      <c r="B296" s="68" t="s">
        <v>967</v>
      </c>
      <c r="C296" s="68" t="s">
        <v>968</v>
      </c>
      <c r="D296" s="225">
        <v>1</v>
      </c>
      <c r="E296" s="225">
        <v>5.43</v>
      </c>
      <c r="F296" s="225">
        <v>28</v>
      </c>
      <c r="G296" s="225">
        <f t="shared" si="4"/>
        <v>4605</v>
      </c>
      <c r="H296">
        <v>3684</v>
      </c>
    </row>
    <row r="297" spans="2:8" x14ac:dyDescent="0.3">
      <c r="B297" s="68" t="s">
        <v>969</v>
      </c>
      <c r="C297" s="68" t="s">
        <v>970</v>
      </c>
      <c r="D297" s="225">
        <v>50</v>
      </c>
      <c r="E297" s="225">
        <v>0.73</v>
      </c>
      <c r="F297" s="225">
        <v>28</v>
      </c>
      <c r="G297" s="225">
        <f t="shared" si="4"/>
        <v>30955</v>
      </c>
      <c r="H297">
        <v>24764</v>
      </c>
    </row>
    <row r="298" spans="2:8" x14ac:dyDescent="0.3">
      <c r="B298" s="68" t="s">
        <v>971</v>
      </c>
      <c r="C298" s="68" t="s">
        <v>972</v>
      </c>
      <c r="D298" s="225">
        <v>50</v>
      </c>
      <c r="E298" s="225">
        <v>0.66</v>
      </c>
      <c r="F298" s="225">
        <v>28</v>
      </c>
      <c r="G298" s="225">
        <f t="shared" si="4"/>
        <v>27986.25</v>
      </c>
      <c r="H298">
        <v>22389</v>
      </c>
    </row>
    <row r="299" spans="2:8" x14ac:dyDescent="0.3">
      <c r="B299" s="68" t="s">
        <v>973</v>
      </c>
      <c r="C299" s="68" t="s">
        <v>974</v>
      </c>
      <c r="D299" s="225">
        <v>50</v>
      </c>
      <c r="E299" s="225">
        <v>1.03</v>
      </c>
      <c r="F299" s="225">
        <v>28</v>
      </c>
      <c r="G299" s="225">
        <f t="shared" si="4"/>
        <v>43676.25</v>
      </c>
      <c r="H299">
        <v>34941</v>
      </c>
    </row>
    <row r="300" spans="2:8" x14ac:dyDescent="0.3">
      <c r="B300" s="68" t="s">
        <v>975</v>
      </c>
      <c r="C300" s="68" t="s">
        <v>976</v>
      </c>
      <c r="D300" s="225">
        <v>50</v>
      </c>
      <c r="E300" s="225">
        <v>0.61</v>
      </c>
      <c r="F300" s="225">
        <v>28</v>
      </c>
      <c r="G300" s="225">
        <f t="shared" si="4"/>
        <v>25866.25</v>
      </c>
      <c r="H300">
        <v>20693</v>
      </c>
    </row>
    <row r="301" spans="2:8" x14ac:dyDescent="0.3">
      <c r="B301" s="68" t="s">
        <v>977</v>
      </c>
      <c r="C301" s="68" t="s">
        <v>978</v>
      </c>
      <c r="D301" s="225">
        <v>1</v>
      </c>
      <c r="E301" s="225">
        <v>0.67</v>
      </c>
      <c r="F301" s="225">
        <v>28</v>
      </c>
      <c r="G301" s="225">
        <f t="shared" si="4"/>
        <v>565</v>
      </c>
      <c r="H301">
        <v>452</v>
      </c>
    </row>
    <row r="302" spans="2:8" x14ac:dyDescent="0.3">
      <c r="B302" s="68" t="s">
        <v>979</v>
      </c>
      <c r="C302" s="68" t="s">
        <v>980</v>
      </c>
      <c r="D302" s="225">
        <v>1</v>
      </c>
      <c r="E302" s="225">
        <v>29.53</v>
      </c>
      <c r="F302" s="225">
        <v>28</v>
      </c>
      <c r="G302" s="225">
        <f t="shared" si="4"/>
        <v>25042.5</v>
      </c>
      <c r="H302">
        <v>20034</v>
      </c>
    </row>
    <row r="303" spans="2:8" x14ac:dyDescent="0.3">
      <c r="B303" s="68" t="s">
        <v>981</v>
      </c>
      <c r="C303" s="68" t="s">
        <v>982</v>
      </c>
      <c r="D303" s="225">
        <v>1</v>
      </c>
      <c r="E303" s="225">
        <v>284.57</v>
      </c>
      <c r="F303" s="225">
        <v>28</v>
      </c>
      <c r="G303" s="225">
        <f t="shared" si="4"/>
        <v>241337.5</v>
      </c>
      <c r="H303">
        <v>193070</v>
      </c>
    </row>
    <row r="304" spans="2:8" x14ac:dyDescent="0.3">
      <c r="B304" s="68" t="s">
        <v>983</v>
      </c>
      <c r="C304" s="68" t="s">
        <v>984</v>
      </c>
      <c r="D304" s="225">
        <v>1</v>
      </c>
      <c r="E304" s="225">
        <v>27.03</v>
      </c>
      <c r="F304" s="225">
        <v>28</v>
      </c>
      <c r="G304" s="225">
        <f t="shared" si="4"/>
        <v>22921.25</v>
      </c>
      <c r="H304">
        <v>18337</v>
      </c>
    </row>
    <row r="305" spans="2:8" x14ac:dyDescent="0.3">
      <c r="B305" s="68" t="s">
        <v>985</v>
      </c>
      <c r="C305" s="68" t="s">
        <v>986</v>
      </c>
      <c r="D305" s="225">
        <v>1</v>
      </c>
      <c r="E305" s="225">
        <v>26.74</v>
      </c>
      <c r="F305" s="225">
        <v>28</v>
      </c>
      <c r="G305" s="225">
        <f t="shared" si="4"/>
        <v>22673.75</v>
      </c>
      <c r="H305">
        <v>18139</v>
      </c>
    </row>
    <row r="306" spans="2:8" x14ac:dyDescent="0.3">
      <c r="B306" s="68" t="s">
        <v>987</v>
      </c>
      <c r="C306" s="68" t="s">
        <v>988</v>
      </c>
      <c r="D306" s="225">
        <v>1</v>
      </c>
      <c r="E306" s="225">
        <v>21.88</v>
      </c>
      <c r="F306" s="225">
        <v>28</v>
      </c>
      <c r="G306" s="225">
        <f t="shared" si="4"/>
        <v>18551.25</v>
      </c>
      <c r="H306">
        <v>14841</v>
      </c>
    </row>
    <row r="307" spans="2:8" x14ac:dyDescent="0.3">
      <c r="B307" s="68" t="s">
        <v>989</v>
      </c>
      <c r="C307" s="68" t="s">
        <v>990</v>
      </c>
      <c r="D307" s="225">
        <v>1</v>
      </c>
      <c r="E307" s="225">
        <v>41.31</v>
      </c>
      <c r="F307" s="225">
        <v>28</v>
      </c>
      <c r="G307" s="225">
        <f t="shared" si="4"/>
        <v>35030</v>
      </c>
      <c r="H307">
        <v>28024</v>
      </c>
    </row>
    <row r="308" spans="2:8" x14ac:dyDescent="0.3">
      <c r="B308" s="68" t="s">
        <v>991</v>
      </c>
      <c r="C308" s="68" t="s">
        <v>992</v>
      </c>
      <c r="D308" s="225">
        <v>1</v>
      </c>
      <c r="E308" s="225">
        <v>6385</v>
      </c>
      <c r="F308" s="225">
        <v>28</v>
      </c>
      <c r="G308" s="225">
        <f t="shared" si="4"/>
        <v>5746.25</v>
      </c>
      <c r="H308">
        <v>4597</v>
      </c>
    </row>
    <row r="309" spans="2:8" x14ac:dyDescent="0.3">
      <c r="B309" s="68" t="s">
        <v>993</v>
      </c>
      <c r="C309" s="68" t="s">
        <v>994</v>
      </c>
      <c r="D309" s="225">
        <v>1</v>
      </c>
      <c r="E309" s="225">
        <v>7445</v>
      </c>
      <c r="F309" s="225">
        <v>28</v>
      </c>
      <c r="G309" s="225">
        <f t="shared" si="4"/>
        <v>6700</v>
      </c>
      <c r="H309">
        <v>5360</v>
      </c>
    </row>
    <row r="310" spans="2:8" x14ac:dyDescent="0.3">
      <c r="B310" s="68" t="s">
        <v>995</v>
      </c>
      <c r="C310" s="68" t="s">
        <v>996</v>
      </c>
      <c r="D310" s="225">
        <v>1</v>
      </c>
      <c r="E310" s="225">
        <v>34.67</v>
      </c>
      <c r="F310" s="225">
        <v>28</v>
      </c>
      <c r="G310" s="225">
        <f t="shared" si="4"/>
        <v>29400</v>
      </c>
      <c r="H310">
        <v>23520</v>
      </c>
    </row>
    <row r="311" spans="2:8" x14ac:dyDescent="0.3">
      <c r="B311" s="68" t="s">
        <v>997</v>
      </c>
      <c r="C311" s="68" t="s">
        <v>998</v>
      </c>
      <c r="D311" s="225">
        <v>1</v>
      </c>
      <c r="E311" s="225">
        <v>52.54</v>
      </c>
      <c r="F311" s="225">
        <v>28</v>
      </c>
      <c r="G311" s="225">
        <f t="shared" si="4"/>
        <v>44560</v>
      </c>
      <c r="H311">
        <v>35648</v>
      </c>
    </row>
    <row r="312" spans="2:8" x14ac:dyDescent="0.3">
      <c r="B312" s="68" t="s">
        <v>999</v>
      </c>
      <c r="C312" s="68" t="s">
        <v>1000</v>
      </c>
      <c r="D312" s="225">
        <v>1</v>
      </c>
      <c r="E312" s="225">
        <v>50.53</v>
      </c>
      <c r="F312" s="225">
        <v>28</v>
      </c>
      <c r="G312" s="225">
        <f t="shared" si="4"/>
        <v>42851.25</v>
      </c>
      <c r="H312">
        <v>34281</v>
      </c>
    </row>
    <row r="313" spans="2:8" x14ac:dyDescent="0.3">
      <c r="B313" s="68" t="s">
        <v>1001</v>
      </c>
      <c r="C313" s="68" t="s">
        <v>1002</v>
      </c>
      <c r="D313" s="225">
        <v>1</v>
      </c>
      <c r="E313" s="225">
        <v>21963</v>
      </c>
      <c r="F313" s="225">
        <v>28</v>
      </c>
      <c r="G313" s="225">
        <f t="shared" si="4"/>
        <v>19766.25</v>
      </c>
      <c r="H313">
        <v>15813</v>
      </c>
    </row>
    <row r="314" spans="2:8" x14ac:dyDescent="0.3">
      <c r="B314" s="68" t="s">
        <v>1003</v>
      </c>
      <c r="C314" s="68" t="s">
        <v>1004</v>
      </c>
      <c r="D314" s="225">
        <v>1</v>
      </c>
      <c r="E314" s="225">
        <v>30410</v>
      </c>
      <c r="F314" s="225">
        <v>28</v>
      </c>
      <c r="G314" s="225">
        <f t="shared" si="4"/>
        <v>27368.75</v>
      </c>
      <c r="H314">
        <v>21895</v>
      </c>
    </row>
    <row r="315" spans="2:8" x14ac:dyDescent="0.3">
      <c r="B315" s="68" t="s">
        <v>1005</v>
      </c>
      <c r="C315" s="68" t="s">
        <v>1006</v>
      </c>
      <c r="D315" s="225">
        <v>1</v>
      </c>
      <c r="E315" s="225">
        <v>35479</v>
      </c>
      <c r="F315" s="225">
        <v>28</v>
      </c>
      <c r="G315" s="225">
        <f t="shared" si="4"/>
        <v>31931.25</v>
      </c>
      <c r="H315">
        <v>25545</v>
      </c>
    </row>
    <row r="316" spans="2:8" x14ac:dyDescent="0.3">
      <c r="B316" s="68" t="s">
        <v>1007</v>
      </c>
      <c r="C316" s="68" t="s">
        <v>1008</v>
      </c>
      <c r="D316" s="225">
        <v>1</v>
      </c>
      <c r="E316" s="225">
        <v>52373</v>
      </c>
      <c r="F316" s="225">
        <v>28</v>
      </c>
      <c r="G316" s="225">
        <f t="shared" si="4"/>
        <v>47136.25</v>
      </c>
      <c r="H316">
        <v>37709</v>
      </c>
    </row>
    <row r="317" spans="2:8" x14ac:dyDescent="0.3">
      <c r="B317" s="68" t="s">
        <v>1009</v>
      </c>
      <c r="C317" s="68" t="s">
        <v>1010</v>
      </c>
      <c r="D317" s="225">
        <v>1</v>
      </c>
      <c r="E317" s="225">
        <v>67578</v>
      </c>
      <c r="F317" s="225">
        <v>28</v>
      </c>
      <c r="G317" s="225">
        <f t="shared" si="4"/>
        <v>60820</v>
      </c>
      <c r="H317">
        <v>48656</v>
      </c>
    </row>
    <row r="318" spans="2:8" x14ac:dyDescent="0.3">
      <c r="B318" s="68" t="s">
        <v>1011</v>
      </c>
      <c r="C318" s="68" t="s">
        <v>1012</v>
      </c>
      <c r="D318" s="225">
        <v>1</v>
      </c>
      <c r="E318" s="225">
        <v>114037</v>
      </c>
      <c r="F318" s="225">
        <v>28</v>
      </c>
      <c r="G318" s="225">
        <f t="shared" si="4"/>
        <v>102633.75</v>
      </c>
      <c r="H318">
        <v>82107</v>
      </c>
    </row>
    <row r="319" spans="2:8" x14ac:dyDescent="0.3">
      <c r="B319" s="68" t="s">
        <v>1013</v>
      </c>
      <c r="C319" s="68" t="s">
        <v>1014</v>
      </c>
      <c r="D319" s="225">
        <v>1</v>
      </c>
      <c r="E319" s="225">
        <v>82774</v>
      </c>
      <c r="F319" s="225">
        <v>28</v>
      </c>
      <c r="G319" s="225">
        <f t="shared" si="4"/>
        <v>74496.25</v>
      </c>
      <c r="H319">
        <v>59597</v>
      </c>
    </row>
    <row r="320" spans="2:8" x14ac:dyDescent="0.3">
      <c r="B320" s="68" t="s">
        <v>1015</v>
      </c>
      <c r="C320" s="68" t="s">
        <v>1016</v>
      </c>
      <c r="D320" s="225">
        <v>1</v>
      </c>
      <c r="E320" s="225">
        <v>124113</v>
      </c>
      <c r="F320" s="225">
        <v>28</v>
      </c>
      <c r="G320" s="225">
        <f t="shared" si="4"/>
        <v>111701.25</v>
      </c>
      <c r="H320">
        <v>89361</v>
      </c>
    </row>
    <row r="321" spans="2:8" x14ac:dyDescent="0.3">
      <c r="B321" s="68" t="s">
        <v>1017</v>
      </c>
      <c r="C321" s="68" t="s">
        <v>1018</v>
      </c>
      <c r="D321" s="225">
        <v>1</v>
      </c>
      <c r="E321" s="225">
        <v>118472</v>
      </c>
      <c r="F321" s="225">
        <v>28</v>
      </c>
      <c r="G321" s="225">
        <f t="shared" si="4"/>
        <v>106625</v>
      </c>
      <c r="H321">
        <v>85300</v>
      </c>
    </row>
    <row r="322" spans="2:8" x14ac:dyDescent="0.3">
      <c r="B322" s="68" t="s">
        <v>1019</v>
      </c>
      <c r="C322" s="68" t="s">
        <v>1020</v>
      </c>
      <c r="D322" s="225">
        <v>1</v>
      </c>
      <c r="E322" s="225">
        <v>171297</v>
      </c>
      <c r="F322" s="225">
        <v>28</v>
      </c>
      <c r="G322" s="225">
        <f t="shared" si="4"/>
        <v>154167.5</v>
      </c>
      <c r="H322">
        <v>123334</v>
      </c>
    </row>
    <row r="323" spans="2:8" x14ac:dyDescent="0.3">
      <c r="B323" s="68" t="s">
        <v>1021</v>
      </c>
      <c r="C323" s="68" t="s">
        <v>1022</v>
      </c>
      <c r="D323" s="225">
        <v>1</v>
      </c>
      <c r="E323" s="225">
        <v>290161</v>
      </c>
      <c r="F323" s="225">
        <v>28</v>
      </c>
      <c r="G323" s="225">
        <f t="shared" si="4"/>
        <v>261145</v>
      </c>
      <c r="H323">
        <v>208916</v>
      </c>
    </row>
    <row r="324" spans="2:8" x14ac:dyDescent="0.3">
      <c r="B324" s="68" t="s">
        <v>1023</v>
      </c>
      <c r="C324" s="68" t="s">
        <v>1024</v>
      </c>
      <c r="D324" s="225">
        <v>1</v>
      </c>
      <c r="E324" s="225">
        <v>4.49</v>
      </c>
      <c r="F324" s="225">
        <v>28</v>
      </c>
      <c r="G324" s="225">
        <f t="shared" si="4"/>
        <v>3805</v>
      </c>
      <c r="H324">
        <v>3044</v>
      </c>
    </row>
    <row r="325" spans="2:8" x14ac:dyDescent="0.3">
      <c r="B325" s="68" t="s">
        <v>1025</v>
      </c>
      <c r="C325" s="68" t="s">
        <v>1026</v>
      </c>
      <c r="D325" s="225">
        <v>1</v>
      </c>
      <c r="E325" s="225">
        <v>4.3</v>
      </c>
      <c r="F325" s="225">
        <v>28</v>
      </c>
      <c r="G325" s="225">
        <f t="shared" si="4"/>
        <v>3651.25</v>
      </c>
      <c r="H325">
        <v>2921</v>
      </c>
    </row>
    <row r="326" spans="2:8" x14ac:dyDescent="0.3">
      <c r="B326" s="68" t="s">
        <v>1027</v>
      </c>
      <c r="C326" s="68" t="s">
        <v>1028</v>
      </c>
      <c r="D326" s="225">
        <v>1</v>
      </c>
      <c r="E326" s="225">
        <v>184.38</v>
      </c>
      <c r="F326" s="225">
        <v>28</v>
      </c>
      <c r="G326" s="225">
        <f t="shared" si="4"/>
        <v>156365</v>
      </c>
      <c r="H326">
        <v>125092</v>
      </c>
    </row>
    <row r="327" spans="2:8" x14ac:dyDescent="0.3">
      <c r="B327" s="68" t="s">
        <v>1029</v>
      </c>
      <c r="C327" s="227" t="s">
        <v>1030</v>
      </c>
      <c r="D327" s="225">
        <v>1</v>
      </c>
      <c r="E327" s="225">
        <v>238.63</v>
      </c>
      <c r="F327" s="225">
        <v>28</v>
      </c>
      <c r="G327" s="225">
        <f t="shared" ref="G327:G390" si="5">H327*1.25</f>
        <v>202372.5</v>
      </c>
      <c r="H327">
        <v>161898</v>
      </c>
    </row>
    <row r="328" spans="2:8" x14ac:dyDescent="0.3">
      <c r="B328" s="68" t="s">
        <v>1031</v>
      </c>
      <c r="C328" s="227" t="s">
        <v>1032</v>
      </c>
      <c r="D328" s="225">
        <v>1</v>
      </c>
      <c r="E328" s="225">
        <v>169.51</v>
      </c>
      <c r="F328" s="225">
        <v>28</v>
      </c>
      <c r="G328" s="225">
        <f t="shared" si="5"/>
        <v>143761.25</v>
      </c>
      <c r="H328">
        <v>115009</v>
      </c>
    </row>
    <row r="329" spans="2:8" x14ac:dyDescent="0.3">
      <c r="B329" s="68" t="s">
        <v>1033</v>
      </c>
      <c r="C329" s="227" t="s">
        <v>1034</v>
      </c>
      <c r="D329" s="225">
        <v>1</v>
      </c>
      <c r="E329" s="225">
        <v>239.22</v>
      </c>
      <c r="F329" s="225">
        <v>28</v>
      </c>
      <c r="G329" s="225">
        <f t="shared" si="5"/>
        <v>202878.75</v>
      </c>
      <c r="H329">
        <v>162303</v>
      </c>
    </row>
    <row r="330" spans="2:8" x14ac:dyDescent="0.3">
      <c r="B330" s="68" t="s">
        <v>1035</v>
      </c>
      <c r="C330" s="68" t="s">
        <v>1036</v>
      </c>
      <c r="D330" s="225">
        <v>1</v>
      </c>
      <c r="E330" s="225">
        <v>194.44</v>
      </c>
      <c r="F330" s="225">
        <v>28</v>
      </c>
      <c r="G330" s="225">
        <f t="shared" si="5"/>
        <v>164903.75</v>
      </c>
      <c r="H330">
        <v>131923</v>
      </c>
    </row>
    <row r="331" spans="2:8" x14ac:dyDescent="0.3">
      <c r="B331" s="68" t="s">
        <v>1037</v>
      </c>
      <c r="C331" s="227" t="s">
        <v>1038</v>
      </c>
      <c r="D331" s="225">
        <v>1</v>
      </c>
      <c r="E331" s="225">
        <v>2.36</v>
      </c>
      <c r="F331" s="225">
        <v>28</v>
      </c>
      <c r="G331" s="225">
        <f t="shared" si="5"/>
        <v>2002.5</v>
      </c>
      <c r="H331">
        <v>1602</v>
      </c>
    </row>
    <row r="332" spans="2:8" x14ac:dyDescent="0.3">
      <c r="B332" s="68" t="s">
        <v>1039</v>
      </c>
      <c r="C332" s="68" t="s">
        <v>1040</v>
      </c>
      <c r="D332" s="225">
        <v>1</v>
      </c>
      <c r="E332" s="225">
        <v>154.15</v>
      </c>
      <c r="F332" s="225">
        <v>28</v>
      </c>
      <c r="G332" s="225">
        <f t="shared" si="5"/>
        <v>130733.75</v>
      </c>
      <c r="H332">
        <v>104587</v>
      </c>
    </row>
    <row r="333" spans="2:8" x14ac:dyDescent="0.3">
      <c r="B333" s="68" t="s">
        <v>1041</v>
      </c>
      <c r="C333" s="68" t="s">
        <v>1042</v>
      </c>
      <c r="D333" s="225">
        <v>1</v>
      </c>
      <c r="E333" s="226">
        <v>1054.54</v>
      </c>
      <c r="F333" s="225">
        <v>28</v>
      </c>
      <c r="G333" s="225">
        <f t="shared" si="5"/>
        <v>894335</v>
      </c>
      <c r="H333">
        <v>715468</v>
      </c>
    </row>
    <row r="334" spans="2:8" x14ac:dyDescent="0.3">
      <c r="B334" s="68" t="s">
        <v>1043</v>
      </c>
      <c r="C334" s="68" t="s">
        <v>1044</v>
      </c>
      <c r="D334" s="225">
        <v>1</v>
      </c>
      <c r="E334" s="225">
        <v>981.44</v>
      </c>
      <c r="F334" s="225">
        <v>28</v>
      </c>
      <c r="G334" s="225">
        <f t="shared" si="5"/>
        <v>832342.5</v>
      </c>
      <c r="H334">
        <v>665874</v>
      </c>
    </row>
    <row r="335" spans="2:8" x14ac:dyDescent="0.3">
      <c r="B335" s="68" t="s">
        <v>1045</v>
      </c>
      <c r="C335" s="68" t="s">
        <v>1046</v>
      </c>
      <c r="D335" s="225">
        <v>1</v>
      </c>
      <c r="E335" s="225">
        <v>131683</v>
      </c>
      <c r="F335" s="225">
        <v>28</v>
      </c>
      <c r="G335" s="225">
        <f t="shared" si="5"/>
        <v>118515</v>
      </c>
      <c r="H335">
        <v>94812</v>
      </c>
    </row>
    <row r="336" spans="2:8" x14ac:dyDescent="0.3">
      <c r="B336" s="68" t="s">
        <v>1047</v>
      </c>
      <c r="C336" s="68" t="s">
        <v>1048</v>
      </c>
      <c r="D336" s="225">
        <v>1</v>
      </c>
      <c r="E336" s="226">
        <v>1258.28</v>
      </c>
      <c r="F336" s="225">
        <v>28</v>
      </c>
      <c r="G336" s="225">
        <f t="shared" si="5"/>
        <v>1067118.75</v>
      </c>
      <c r="H336">
        <v>853695</v>
      </c>
    </row>
    <row r="337" spans="2:8" x14ac:dyDescent="0.3">
      <c r="B337" s="68" t="s">
        <v>1049</v>
      </c>
      <c r="C337" s="68" t="s">
        <v>1050</v>
      </c>
      <c r="D337" s="225">
        <v>1</v>
      </c>
      <c r="E337" s="225">
        <v>143845</v>
      </c>
      <c r="F337" s="225">
        <v>28</v>
      </c>
      <c r="G337" s="225">
        <f t="shared" si="5"/>
        <v>129460</v>
      </c>
      <c r="H337">
        <v>103568</v>
      </c>
    </row>
    <row r="338" spans="2:8" x14ac:dyDescent="0.3">
      <c r="B338" s="68" t="s">
        <v>1051</v>
      </c>
      <c r="C338" s="68" t="s">
        <v>1052</v>
      </c>
      <c r="D338" s="225">
        <v>1</v>
      </c>
      <c r="E338" s="225">
        <v>197545</v>
      </c>
      <c r="F338" s="225">
        <v>28</v>
      </c>
      <c r="G338" s="225">
        <f t="shared" si="5"/>
        <v>177790</v>
      </c>
      <c r="H338">
        <v>142232</v>
      </c>
    </row>
    <row r="339" spans="2:8" x14ac:dyDescent="0.3">
      <c r="B339" s="68" t="s">
        <v>1053</v>
      </c>
      <c r="C339" s="68" t="s">
        <v>1054</v>
      </c>
      <c r="D339" s="225">
        <v>1</v>
      </c>
      <c r="E339" s="225">
        <v>1332</v>
      </c>
      <c r="F339" s="225">
        <v>28</v>
      </c>
      <c r="G339" s="225">
        <f t="shared" si="5"/>
        <v>1198.75</v>
      </c>
      <c r="H339">
        <v>959</v>
      </c>
    </row>
    <row r="340" spans="2:8" x14ac:dyDescent="0.3">
      <c r="B340" s="68" t="s">
        <v>1055</v>
      </c>
      <c r="C340" s="68" t="s">
        <v>1056</v>
      </c>
      <c r="D340" s="225">
        <v>1</v>
      </c>
      <c r="E340" s="225">
        <v>1183</v>
      </c>
      <c r="F340" s="225">
        <v>28</v>
      </c>
      <c r="G340" s="225">
        <f t="shared" si="5"/>
        <v>1065</v>
      </c>
      <c r="H340">
        <v>852</v>
      </c>
    </row>
    <row r="341" spans="2:8" x14ac:dyDescent="0.3">
      <c r="B341" s="68" t="s">
        <v>1057</v>
      </c>
      <c r="C341" s="68" t="s">
        <v>1058</v>
      </c>
      <c r="D341" s="225">
        <v>1</v>
      </c>
      <c r="E341" s="225">
        <v>1748</v>
      </c>
      <c r="F341" s="225">
        <v>28</v>
      </c>
      <c r="G341" s="225">
        <f t="shared" si="5"/>
        <v>1573.75</v>
      </c>
      <c r="H341">
        <v>1259</v>
      </c>
    </row>
    <row r="342" spans="2:8" x14ac:dyDescent="0.3">
      <c r="B342" s="68" t="s">
        <v>1059</v>
      </c>
      <c r="C342" s="68" t="s">
        <v>1060</v>
      </c>
      <c r="D342" s="225">
        <v>2</v>
      </c>
      <c r="E342" s="225">
        <v>23.5</v>
      </c>
      <c r="F342" s="225">
        <v>28</v>
      </c>
      <c r="G342" s="225">
        <f t="shared" si="5"/>
        <v>39860</v>
      </c>
      <c r="H342">
        <v>31888</v>
      </c>
    </row>
    <row r="343" spans="2:8" x14ac:dyDescent="0.3">
      <c r="B343" s="68" t="s">
        <v>1061</v>
      </c>
      <c r="C343" s="68" t="s">
        <v>1062</v>
      </c>
      <c r="D343" s="225">
        <v>1</v>
      </c>
      <c r="E343" s="225">
        <v>12.86</v>
      </c>
      <c r="F343" s="225">
        <v>28</v>
      </c>
      <c r="G343" s="225">
        <f t="shared" si="5"/>
        <v>10907.5</v>
      </c>
      <c r="H343">
        <v>8726</v>
      </c>
    </row>
    <row r="344" spans="2:8" x14ac:dyDescent="0.3">
      <c r="B344" s="68" t="s">
        <v>1063</v>
      </c>
      <c r="C344" s="68" t="s">
        <v>1064</v>
      </c>
      <c r="D344" s="225">
        <v>1</v>
      </c>
      <c r="E344" s="225">
        <v>11.21</v>
      </c>
      <c r="F344" s="225">
        <v>28</v>
      </c>
      <c r="G344" s="225">
        <f t="shared" si="5"/>
        <v>9505</v>
      </c>
      <c r="H344">
        <v>7604</v>
      </c>
    </row>
    <row r="345" spans="2:8" x14ac:dyDescent="0.3">
      <c r="B345" s="68" t="s">
        <v>1065</v>
      </c>
      <c r="C345" s="68" t="s">
        <v>1066</v>
      </c>
      <c r="D345" s="225">
        <v>1</v>
      </c>
      <c r="E345" s="225">
        <v>17.899999999999999</v>
      </c>
      <c r="F345" s="225">
        <v>28</v>
      </c>
      <c r="G345" s="225">
        <f t="shared" si="5"/>
        <v>15182.5</v>
      </c>
      <c r="H345">
        <v>12146</v>
      </c>
    </row>
    <row r="346" spans="2:8" x14ac:dyDescent="0.3">
      <c r="B346" s="68" t="s">
        <v>1067</v>
      </c>
      <c r="C346" s="68" t="s">
        <v>1068</v>
      </c>
      <c r="D346" s="225">
        <v>1</v>
      </c>
      <c r="E346" s="225">
        <v>17.239999999999998</v>
      </c>
      <c r="F346" s="225">
        <v>28</v>
      </c>
      <c r="G346" s="225">
        <f t="shared" si="5"/>
        <v>14617.5</v>
      </c>
      <c r="H346">
        <v>11694</v>
      </c>
    </row>
    <row r="347" spans="2:8" x14ac:dyDescent="0.3">
      <c r="B347" s="68" t="s">
        <v>1069</v>
      </c>
      <c r="C347" s="68" t="s">
        <v>1070</v>
      </c>
      <c r="D347" s="225">
        <v>1</v>
      </c>
      <c r="E347" s="225">
        <v>3.95</v>
      </c>
      <c r="F347" s="225">
        <v>28</v>
      </c>
      <c r="G347" s="225">
        <f t="shared" si="5"/>
        <v>3345</v>
      </c>
      <c r="H347">
        <v>2676</v>
      </c>
    </row>
    <row r="348" spans="2:8" x14ac:dyDescent="0.3">
      <c r="B348" s="68" t="s">
        <v>1071</v>
      </c>
      <c r="C348" s="68" t="s">
        <v>1072</v>
      </c>
      <c r="D348" s="225">
        <v>2</v>
      </c>
      <c r="E348" s="225">
        <v>4.5599999999999996</v>
      </c>
      <c r="F348" s="225">
        <v>28</v>
      </c>
      <c r="G348" s="225">
        <f t="shared" si="5"/>
        <v>7738.75</v>
      </c>
      <c r="H348">
        <v>6191</v>
      </c>
    </row>
    <row r="349" spans="2:8" x14ac:dyDescent="0.3">
      <c r="B349" s="68" t="s">
        <v>1073</v>
      </c>
      <c r="C349" s="68" t="s">
        <v>1074</v>
      </c>
      <c r="D349" s="225">
        <v>1</v>
      </c>
      <c r="E349" s="225">
        <v>4.57</v>
      </c>
      <c r="F349" s="225">
        <v>28</v>
      </c>
      <c r="G349" s="225">
        <f t="shared" si="5"/>
        <v>3875</v>
      </c>
      <c r="H349">
        <v>3100</v>
      </c>
    </row>
    <row r="350" spans="2:8" x14ac:dyDescent="0.3">
      <c r="B350" s="68" t="s">
        <v>1075</v>
      </c>
      <c r="C350" s="68" t="s">
        <v>1076</v>
      </c>
      <c r="D350" s="225">
        <v>1</v>
      </c>
      <c r="E350" s="225">
        <v>1.82</v>
      </c>
      <c r="F350" s="225">
        <v>28</v>
      </c>
      <c r="G350" s="225">
        <f t="shared" si="5"/>
        <v>1542.5</v>
      </c>
      <c r="H350">
        <v>1234</v>
      </c>
    </row>
    <row r="351" spans="2:8" x14ac:dyDescent="0.3">
      <c r="B351" s="68" t="s">
        <v>1077</v>
      </c>
      <c r="C351" s="68" t="s">
        <v>1078</v>
      </c>
      <c r="D351" s="225">
        <v>1</v>
      </c>
      <c r="E351" s="225">
        <v>5294</v>
      </c>
      <c r="F351" s="225">
        <v>28</v>
      </c>
      <c r="G351" s="225">
        <f t="shared" si="5"/>
        <v>4765</v>
      </c>
      <c r="H351">
        <v>3812</v>
      </c>
    </row>
    <row r="352" spans="2:8" x14ac:dyDescent="0.3">
      <c r="B352" s="68" t="s">
        <v>1079</v>
      </c>
      <c r="C352" s="68" t="s">
        <v>1080</v>
      </c>
      <c r="D352" s="225">
        <v>1</v>
      </c>
      <c r="E352" s="225">
        <v>10331</v>
      </c>
      <c r="F352" s="225">
        <v>28</v>
      </c>
      <c r="G352" s="225">
        <f t="shared" si="5"/>
        <v>9297.5</v>
      </c>
      <c r="H352">
        <v>7438</v>
      </c>
    </row>
    <row r="353" spans="1:8" x14ac:dyDescent="0.3">
      <c r="A353" t="s">
        <v>1264</v>
      </c>
      <c r="B353" s="68" t="s">
        <v>1102</v>
      </c>
      <c r="C353" s="68" t="s">
        <v>1103</v>
      </c>
      <c r="D353" s="225">
        <v>1</v>
      </c>
      <c r="E353" s="225">
        <v>6748</v>
      </c>
      <c r="F353" s="225">
        <v>28</v>
      </c>
      <c r="G353" s="225">
        <f t="shared" si="5"/>
        <v>6073.75</v>
      </c>
      <c r="H353">
        <v>4859</v>
      </c>
    </row>
    <row r="354" spans="1:8" x14ac:dyDescent="0.3">
      <c r="B354" s="68" t="s">
        <v>1104</v>
      </c>
      <c r="C354" s="68" t="s">
        <v>1105</v>
      </c>
      <c r="D354" s="225">
        <v>1</v>
      </c>
      <c r="E354" s="225">
        <v>1563</v>
      </c>
      <c r="F354" s="225">
        <v>28</v>
      </c>
      <c r="G354" s="225">
        <f t="shared" si="5"/>
        <v>1406.25</v>
      </c>
      <c r="H354">
        <v>1125</v>
      </c>
    </row>
    <row r="355" spans="1:8" x14ac:dyDescent="0.3">
      <c r="B355" s="68" t="s">
        <v>1106</v>
      </c>
      <c r="C355" s="68" t="s">
        <v>1107</v>
      </c>
      <c r="D355" s="225">
        <v>1</v>
      </c>
      <c r="E355" s="225">
        <v>0.74</v>
      </c>
      <c r="F355" s="225">
        <v>28</v>
      </c>
      <c r="G355" s="225">
        <f t="shared" si="5"/>
        <v>623.75</v>
      </c>
      <c r="H355">
        <v>499</v>
      </c>
    </row>
    <row r="356" spans="1:8" x14ac:dyDescent="0.3">
      <c r="B356" s="68" t="s">
        <v>1108</v>
      </c>
      <c r="C356" s="68" t="s">
        <v>1109</v>
      </c>
      <c r="D356" s="225">
        <v>1</v>
      </c>
      <c r="E356" s="225">
        <v>427</v>
      </c>
      <c r="F356" s="225">
        <v>28</v>
      </c>
      <c r="G356" s="225">
        <f t="shared" si="5"/>
        <v>383.75</v>
      </c>
      <c r="H356">
        <v>307</v>
      </c>
    </row>
    <row r="357" spans="1:8" x14ac:dyDescent="0.3">
      <c r="B357" s="68" t="s">
        <v>1110</v>
      </c>
      <c r="C357" s="68" t="s">
        <v>1111</v>
      </c>
      <c r="D357" s="225">
        <v>1</v>
      </c>
      <c r="E357" s="225">
        <v>1277</v>
      </c>
      <c r="F357" s="225">
        <v>28</v>
      </c>
      <c r="G357" s="225">
        <f t="shared" si="5"/>
        <v>1148.75</v>
      </c>
      <c r="H357">
        <v>919</v>
      </c>
    </row>
    <row r="358" spans="1:8" x14ac:dyDescent="0.3">
      <c r="B358" s="68" t="s">
        <v>1112</v>
      </c>
      <c r="C358" s="68" t="s">
        <v>1113</v>
      </c>
      <c r="D358" s="225">
        <v>1</v>
      </c>
      <c r="E358" s="225">
        <v>49671</v>
      </c>
      <c r="F358" s="225">
        <v>28</v>
      </c>
      <c r="G358" s="225">
        <f t="shared" si="5"/>
        <v>44703.75</v>
      </c>
      <c r="H358">
        <v>35763</v>
      </c>
    </row>
    <row r="359" spans="1:8" x14ac:dyDescent="0.3">
      <c r="B359" s="68" t="s">
        <v>1114</v>
      </c>
      <c r="C359" s="68" t="s">
        <v>1115</v>
      </c>
      <c r="D359" s="225">
        <v>1</v>
      </c>
      <c r="E359" s="225">
        <v>2.1800000000000002</v>
      </c>
      <c r="F359" s="225">
        <v>28</v>
      </c>
      <c r="G359" s="225">
        <f t="shared" si="5"/>
        <v>1848.75</v>
      </c>
      <c r="H359">
        <v>1479</v>
      </c>
    </row>
    <row r="360" spans="1:8" x14ac:dyDescent="0.3">
      <c r="B360" s="68" t="s">
        <v>1116</v>
      </c>
      <c r="C360" s="68" t="s">
        <v>1117</v>
      </c>
      <c r="D360" s="225">
        <v>1</v>
      </c>
      <c r="E360" s="225">
        <v>1090</v>
      </c>
      <c r="F360" s="225">
        <v>28</v>
      </c>
      <c r="G360" s="225">
        <f t="shared" si="5"/>
        <v>981.25</v>
      </c>
      <c r="H360">
        <v>785</v>
      </c>
    </row>
    <row r="361" spans="1:8" x14ac:dyDescent="0.3">
      <c r="B361" s="68" t="s">
        <v>1118</v>
      </c>
      <c r="C361" s="68" t="s">
        <v>1119</v>
      </c>
      <c r="D361" s="225">
        <v>1</v>
      </c>
      <c r="E361" s="225">
        <v>1580</v>
      </c>
      <c r="F361" s="225">
        <v>28</v>
      </c>
      <c r="G361" s="225">
        <f t="shared" si="5"/>
        <v>1422.5</v>
      </c>
      <c r="H361">
        <v>1138</v>
      </c>
    </row>
    <row r="362" spans="1:8" x14ac:dyDescent="0.3">
      <c r="B362" s="68" t="s">
        <v>1120</v>
      </c>
      <c r="C362" s="68" t="s">
        <v>1121</v>
      </c>
      <c r="D362" s="225">
        <v>1</v>
      </c>
      <c r="E362" s="225">
        <v>2193</v>
      </c>
      <c r="F362" s="225">
        <v>28</v>
      </c>
      <c r="G362" s="225">
        <f t="shared" si="5"/>
        <v>1973.75</v>
      </c>
      <c r="H362">
        <v>1579</v>
      </c>
    </row>
    <row r="363" spans="1:8" x14ac:dyDescent="0.3">
      <c r="B363" s="68" t="s">
        <v>1122</v>
      </c>
      <c r="C363" s="68" t="s">
        <v>1123</v>
      </c>
      <c r="D363" s="225">
        <v>1</v>
      </c>
      <c r="E363" s="225">
        <v>4689</v>
      </c>
      <c r="F363" s="225">
        <v>28</v>
      </c>
      <c r="G363" s="225">
        <f t="shared" si="5"/>
        <v>4220</v>
      </c>
      <c r="H363">
        <v>3376</v>
      </c>
    </row>
    <row r="364" spans="1:8" x14ac:dyDescent="0.3">
      <c r="B364" s="68" t="s">
        <v>1124</v>
      </c>
      <c r="C364" s="68" t="s">
        <v>1125</v>
      </c>
      <c r="D364" s="225">
        <v>1</v>
      </c>
      <c r="E364" s="225">
        <v>6690</v>
      </c>
      <c r="F364" s="225">
        <v>28</v>
      </c>
      <c r="G364" s="225">
        <f t="shared" si="5"/>
        <v>6021.25</v>
      </c>
      <c r="H364">
        <v>4817</v>
      </c>
    </row>
    <row r="365" spans="1:8" x14ac:dyDescent="0.3">
      <c r="B365" s="68" t="s">
        <v>1126</v>
      </c>
      <c r="C365" s="68" t="s">
        <v>1127</v>
      </c>
      <c r="D365" s="225">
        <v>1</v>
      </c>
      <c r="E365" s="225">
        <v>10035</v>
      </c>
      <c r="F365" s="225">
        <v>28</v>
      </c>
      <c r="G365" s="225">
        <f t="shared" si="5"/>
        <v>9031.25</v>
      </c>
      <c r="H365">
        <v>7225</v>
      </c>
    </row>
    <row r="366" spans="1:8" x14ac:dyDescent="0.3">
      <c r="B366" s="68" t="s">
        <v>1128</v>
      </c>
      <c r="C366" s="68" t="s">
        <v>1129</v>
      </c>
      <c r="D366" s="225">
        <v>1</v>
      </c>
      <c r="E366" s="225">
        <v>17004</v>
      </c>
      <c r="F366" s="225">
        <v>28</v>
      </c>
      <c r="G366" s="225">
        <f t="shared" si="5"/>
        <v>15303.75</v>
      </c>
      <c r="H366">
        <v>12243</v>
      </c>
    </row>
    <row r="367" spans="1:8" x14ac:dyDescent="0.3">
      <c r="B367" s="68" t="s">
        <v>1130</v>
      </c>
      <c r="C367" s="68" t="s">
        <v>1131</v>
      </c>
      <c r="D367" s="225">
        <v>1</v>
      </c>
      <c r="E367" s="225">
        <v>31549</v>
      </c>
      <c r="F367" s="225">
        <v>28</v>
      </c>
      <c r="G367" s="225">
        <f t="shared" si="5"/>
        <v>28393.75</v>
      </c>
      <c r="H367">
        <v>22715</v>
      </c>
    </row>
    <row r="368" spans="1:8" x14ac:dyDescent="0.3">
      <c r="B368" s="68" t="s">
        <v>1132</v>
      </c>
      <c r="C368" s="68" t="s">
        <v>1133</v>
      </c>
      <c r="D368" s="225">
        <v>1</v>
      </c>
      <c r="E368" s="225">
        <v>58833</v>
      </c>
      <c r="F368" s="225">
        <v>28</v>
      </c>
      <c r="G368" s="225">
        <f t="shared" si="5"/>
        <v>52950</v>
      </c>
      <c r="H368">
        <v>42360</v>
      </c>
    </row>
    <row r="369" spans="2:8" x14ac:dyDescent="0.3">
      <c r="B369" s="68" t="s">
        <v>1134</v>
      </c>
      <c r="C369" s="68" t="s">
        <v>1135</v>
      </c>
      <c r="D369" s="225">
        <v>1</v>
      </c>
      <c r="E369" s="225">
        <v>10637</v>
      </c>
      <c r="F369" s="225">
        <v>28</v>
      </c>
      <c r="G369" s="225">
        <f t="shared" si="5"/>
        <v>9573.75</v>
      </c>
      <c r="H369">
        <v>7659</v>
      </c>
    </row>
    <row r="370" spans="2:8" x14ac:dyDescent="0.3">
      <c r="B370" s="68" t="s">
        <v>1136</v>
      </c>
      <c r="C370" s="68" t="s">
        <v>1137</v>
      </c>
      <c r="D370" s="225">
        <v>1</v>
      </c>
      <c r="E370" s="225">
        <v>9375</v>
      </c>
      <c r="F370" s="225">
        <v>28</v>
      </c>
      <c r="G370" s="225">
        <f t="shared" si="5"/>
        <v>8437.5</v>
      </c>
      <c r="H370">
        <v>6750</v>
      </c>
    </row>
    <row r="371" spans="2:8" x14ac:dyDescent="0.3">
      <c r="B371" s="68" t="s">
        <v>1138</v>
      </c>
      <c r="C371" s="68" t="s">
        <v>1139</v>
      </c>
      <c r="D371" s="225">
        <v>1</v>
      </c>
      <c r="E371" s="225">
        <v>24840</v>
      </c>
      <c r="F371" s="225">
        <v>28</v>
      </c>
      <c r="G371" s="225">
        <f t="shared" si="5"/>
        <v>22356.25</v>
      </c>
      <c r="H371">
        <v>17885</v>
      </c>
    </row>
    <row r="372" spans="2:8" x14ac:dyDescent="0.3">
      <c r="B372" s="68" t="s">
        <v>1140</v>
      </c>
      <c r="C372" s="68" t="s">
        <v>1141</v>
      </c>
      <c r="D372" s="225">
        <v>1</v>
      </c>
      <c r="E372" s="225">
        <v>18261</v>
      </c>
      <c r="F372" s="225">
        <v>28</v>
      </c>
      <c r="G372" s="225">
        <f t="shared" si="5"/>
        <v>16435</v>
      </c>
      <c r="H372">
        <v>13148</v>
      </c>
    </row>
    <row r="373" spans="2:8" x14ac:dyDescent="0.3">
      <c r="B373" s="68" t="s">
        <v>1142</v>
      </c>
      <c r="C373" s="68" t="s">
        <v>1143</v>
      </c>
      <c r="D373" s="225">
        <v>1</v>
      </c>
      <c r="E373" s="225">
        <v>9375</v>
      </c>
      <c r="F373" s="225">
        <v>28</v>
      </c>
      <c r="G373" s="225">
        <f t="shared" si="5"/>
        <v>8437.5</v>
      </c>
      <c r="H373">
        <v>6750</v>
      </c>
    </row>
    <row r="374" spans="2:8" x14ac:dyDescent="0.3">
      <c r="B374" s="68" t="s">
        <v>1144</v>
      </c>
      <c r="C374" s="68" t="s">
        <v>1145</v>
      </c>
      <c r="D374" s="225">
        <v>1</v>
      </c>
      <c r="E374" s="225">
        <v>17253</v>
      </c>
      <c r="F374" s="225">
        <v>28</v>
      </c>
      <c r="G374" s="225">
        <f t="shared" si="5"/>
        <v>15527.5</v>
      </c>
      <c r="H374">
        <v>12422</v>
      </c>
    </row>
    <row r="375" spans="2:8" x14ac:dyDescent="0.3">
      <c r="B375" s="68" t="s">
        <v>1146</v>
      </c>
      <c r="C375" s="68" t="s">
        <v>1147</v>
      </c>
      <c r="D375" s="225">
        <v>1</v>
      </c>
      <c r="E375" s="225">
        <v>16316</v>
      </c>
      <c r="F375" s="225">
        <v>28</v>
      </c>
      <c r="G375" s="225">
        <f t="shared" si="5"/>
        <v>14685</v>
      </c>
      <c r="H375">
        <v>11748</v>
      </c>
    </row>
    <row r="376" spans="2:8" x14ac:dyDescent="0.3">
      <c r="B376" s="68" t="s">
        <v>1148</v>
      </c>
      <c r="C376" s="68" t="s">
        <v>1149</v>
      </c>
      <c r="D376" s="225">
        <v>1</v>
      </c>
      <c r="E376" s="225">
        <v>24058</v>
      </c>
      <c r="F376" s="225">
        <v>28</v>
      </c>
      <c r="G376" s="225">
        <f t="shared" si="5"/>
        <v>21652.5</v>
      </c>
      <c r="H376">
        <v>17322</v>
      </c>
    </row>
    <row r="377" spans="2:8" x14ac:dyDescent="0.3">
      <c r="B377" s="68" t="s">
        <v>1150</v>
      </c>
      <c r="C377" s="68" t="s">
        <v>1151</v>
      </c>
      <c r="D377" s="225">
        <v>1</v>
      </c>
      <c r="E377" s="225">
        <v>78961</v>
      </c>
      <c r="F377" s="225">
        <v>28</v>
      </c>
      <c r="G377" s="225">
        <f t="shared" si="5"/>
        <v>71065</v>
      </c>
      <c r="H377">
        <v>56852</v>
      </c>
    </row>
    <row r="378" spans="2:8" x14ac:dyDescent="0.3">
      <c r="B378" s="68" t="s">
        <v>1152</v>
      </c>
      <c r="C378" s="68" t="s">
        <v>1153</v>
      </c>
      <c r="D378" s="225">
        <v>1</v>
      </c>
      <c r="E378" s="225">
        <v>31838</v>
      </c>
      <c r="F378" s="225">
        <v>28</v>
      </c>
      <c r="G378" s="225">
        <f t="shared" si="5"/>
        <v>28653.75</v>
      </c>
      <c r="H378">
        <v>22923</v>
      </c>
    </row>
    <row r="379" spans="2:8" x14ac:dyDescent="0.3">
      <c r="B379" s="68" t="s">
        <v>1154</v>
      </c>
      <c r="C379" s="68" t="s">
        <v>1155</v>
      </c>
      <c r="D379" s="225">
        <v>1</v>
      </c>
      <c r="E379" s="225">
        <v>46957</v>
      </c>
      <c r="F379" s="225">
        <v>28</v>
      </c>
      <c r="G379" s="225">
        <f t="shared" si="5"/>
        <v>42261.25</v>
      </c>
      <c r="H379">
        <v>33809</v>
      </c>
    </row>
    <row r="380" spans="2:8" x14ac:dyDescent="0.3">
      <c r="B380" s="68" t="s">
        <v>1156</v>
      </c>
      <c r="C380" s="68" t="s">
        <v>1157</v>
      </c>
      <c r="D380" s="225">
        <v>1</v>
      </c>
      <c r="E380" s="225">
        <v>75680</v>
      </c>
      <c r="F380" s="225">
        <v>28</v>
      </c>
      <c r="G380" s="225">
        <f t="shared" si="5"/>
        <v>68112.5</v>
      </c>
      <c r="H380">
        <v>54490</v>
      </c>
    </row>
    <row r="381" spans="2:8" x14ac:dyDescent="0.3">
      <c r="B381" s="68" t="s">
        <v>1158</v>
      </c>
      <c r="C381" s="68" t="s">
        <v>1159</v>
      </c>
      <c r="D381" s="225">
        <v>1</v>
      </c>
      <c r="E381" s="225">
        <v>26289</v>
      </c>
      <c r="F381" s="225">
        <v>28</v>
      </c>
      <c r="G381" s="225">
        <f t="shared" si="5"/>
        <v>23660</v>
      </c>
      <c r="H381">
        <v>18928</v>
      </c>
    </row>
    <row r="382" spans="2:8" x14ac:dyDescent="0.3">
      <c r="B382" s="68" t="s">
        <v>1160</v>
      </c>
      <c r="C382" s="227" t="s">
        <v>1161</v>
      </c>
      <c r="D382" s="225">
        <v>1</v>
      </c>
      <c r="E382" s="225">
        <v>2727</v>
      </c>
      <c r="F382" s="225">
        <v>28</v>
      </c>
      <c r="G382" s="225">
        <f t="shared" si="5"/>
        <v>2453.75</v>
      </c>
      <c r="H382">
        <v>1963</v>
      </c>
    </row>
    <row r="383" spans="2:8" x14ac:dyDescent="0.3">
      <c r="B383" s="68" t="s">
        <v>1162</v>
      </c>
      <c r="C383" s="227" t="s">
        <v>1163</v>
      </c>
      <c r="D383" s="225">
        <v>1</v>
      </c>
      <c r="E383" s="225">
        <v>575</v>
      </c>
      <c r="F383" s="225">
        <v>28</v>
      </c>
      <c r="G383" s="225">
        <f t="shared" si="5"/>
        <v>517.5</v>
      </c>
      <c r="H383">
        <v>414</v>
      </c>
    </row>
    <row r="384" spans="2:8" x14ac:dyDescent="0.3">
      <c r="B384" s="68" t="s">
        <v>1164</v>
      </c>
      <c r="C384" s="227" t="s">
        <v>1165</v>
      </c>
      <c r="D384" s="225">
        <v>1</v>
      </c>
      <c r="E384" s="225">
        <v>3987</v>
      </c>
      <c r="F384" s="225">
        <v>28</v>
      </c>
      <c r="G384" s="225">
        <f t="shared" si="5"/>
        <v>3588.75</v>
      </c>
      <c r="H384">
        <v>2871</v>
      </c>
    </row>
    <row r="385" spans="2:8" x14ac:dyDescent="0.3">
      <c r="B385" s="68" t="s">
        <v>1166</v>
      </c>
      <c r="C385" s="227" t="s">
        <v>1167</v>
      </c>
      <c r="D385" s="225">
        <v>1</v>
      </c>
      <c r="E385" s="225">
        <v>1196</v>
      </c>
      <c r="F385" s="225">
        <v>28</v>
      </c>
      <c r="G385" s="225">
        <f t="shared" si="5"/>
        <v>1076.25</v>
      </c>
      <c r="H385">
        <v>861</v>
      </c>
    </row>
    <row r="386" spans="2:8" x14ac:dyDescent="0.3">
      <c r="B386" s="68" t="s">
        <v>1168</v>
      </c>
      <c r="C386" s="227" t="s">
        <v>1169</v>
      </c>
      <c r="D386" s="225">
        <v>1</v>
      </c>
      <c r="E386" s="225">
        <v>1020</v>
      </c>
      <c r="F386" s="225">
        <v>28</v>
      </c>
      <c r="G386" s="225">
        <f t="shared" si="5"/>
        <v>917.5</v>
      </c>
      <c r="H386">
        <v>734</v>
      </c>
    </row>
    <row r="387" spans="2:8" x14ac:dyDescent="0.3">
      <c r="B387" s="68" t="s">
        <v>1170</v>
      </c>
      <c r="C387" s="227" t="s">
        <v>1171</v>
      </c>
      <c r="D387" s="225">
        <v>1</v>
      </c>
      <c r="E387" s="225">
        <v>506</v>
      </c>
      <c r="F387" s="225">
        <v>28</v>
      </c>
      <c r="G387" s="225">
        <f t="shared" si="5"/>
        <v>455</v>
      </c>
      <c r="H387">
        <v>364</v>
      </c>
    </row>
    <row r="388" spans="2:8" x14ac:dyDescent="0.3">
      <c r="B388" s="68" t="s">
        <v>1172</v>
      </c>
      <c r="C388" s="68" t="s">
        <v>1173</v>
      </c>
      <c r="D388" s="225">
        <v>1</v>
      </c>
      <c r="E388" s="225">
        <v>40</v>
      </c>
      <c r="F388" s="225">
        <v>28</v>
      </c>
      <c r="G388" s="225">
        <f t="shared" si="5"/>
        <v>36.25</v>
      </c>
      <c r="H388">
        <v>29</v>
      </c>
    </row>
    <row r="389" spans="2:8" x14ac:dyDescent="0.3">
      <c r="B389" s="68" t="s">
        <v>1174</v>
      </c>
      <c r="C389" s="68" t="s">
        <v>1175</v>
      </c>
      <c r="D389" s="225">
        <v>1</v>
      </c>
      <c r="E389" s="225">
        <v>0.09</v>
      </c>
      <c r="F389" s="225">
        <v>28</v>
      </c>
      <c r="G389" s="225">
        <f t="shared" si="5"/>
        <v>71.25</v>
      </c>
      <c r="H389">
        <v>57</v>
      </c>
    </row>
    <row r="390" spans="2:8" x14ac:dyDescent="0.3">
      <c r="B390" s="68" t="s">
        <v>1176</v>
      </c>
      <c r="C390" s="68" t="s">
        <v>1177</v>
      </c>
      <c r="D390" s="225">
        <v>1</v>
      </c>
      <c r="E390" s="225">
        <v>0.11</v>
      </c>
      <c r="F390" s="225">
        <v>28</v>
      </c>
      <c r="G390" s="225">
        <f t="shared" si="5"/>
        <v>93.75</v>
      </c>
      <c r="H390">
        <v>75</v>
      </c>
    </row>
    <row r="391" spans="2:8" x14ac:dyDescent="0.3">
      <c r="B391" s="68" t="s">
        <v>1178</v>
      </c>
      <c r="C391" s="68" t="s">
        <v>1179</v>
      </c>
      <c r="D391" s="225">
        <v>1</v>
      </c>
      <c r="E391" s="225">
        <v>0.15</v>
      </c>
      <c r="F391" s="225">
        <v>28</v>
      </c>
      <c r="G391" s="225">
        <f t="shared" ref="G391:G435" si="6">H391*1.25</f>
        <v>130</v>
      </c>
      <c r="H391">
        <v>104</v>
      </c>
    </row>
    <row r="392" spans="2:8" x14ac:dyDescent="0.3">
      <c r="B392" s="68" t="s">
        <v>1180</v>
      </c>
      <c r="C392" s="227" t="s">
        <v>1181</v>
      </c>
      <c r="D392" s="225">
        <v>1</v>
      </c>
      <c r="E392" s="225">
        <v>51</v>
      </c>
      <c r="F392" s="225">
        <v>0</v>
      </c>
      <c r="G392" s="225">
        <f t="shared" si="6"/>
        <v>63.75</v>
      </c>
      <c r="H392">
        <v>51</v>
      </c>
    </row>
    <row r="393" spans="2:8" x14ac:dyDescent="0.3">
      <c r="B393" s="68" t="s">
        <v>1182</v>
      </c>
      <c r="C393" s="227" t="s">
        <v>1183</v>
      </c>
      <c r="D393" s="225">
        <v>1</v>
      </c>
      <c r="E393" s="225">
        <v>77</v>
      </c>
      <c r="F393" s="225">
        <v>0</v>
      </c>
      <c r="G393" s="225">
        <f t="shared" si="6"/>
        <v>96.25</v>
      </c>
      <c r="H393">
        <v>77</v>
      </c>
    </row>
    <row r="394" spans="2:8" x14ac:dyDescent="0.3">
      <c r="B394" s="68" t="s">
        <v>1184</v>
      </c>
      <c r="C394" s="227" t="s">
        <v>1185</v>
      </c>
      <c r="D394" s="225">
        <v>1</v>
      </c>
      <c r="E394" s="225">
        <v>1369</v>
      </c>
      <c r="F394" s="225">
        <v>28</v>
      </c>
      <c r="G394" s="225">
        <f t="shared" si="6"/>
        <v>1232.5</v>
      </c>
      <c r="H394">
        <v>986</v>
      </c>
    </row>
    <row r="395" spans="2:8" x14ac:dyDescent="0.3">
      <c r="B395" s="68" t="s">
        <v>1186</v>
      </c>
      <c r="C395" s="227" t="s">
        <v>1187</v>
      </c>
      <c r="D395" s="225">
        <v>1</v>
      </c>
      <c r="E395" s="225">
        <v>2306</v>
      </c>
      <c r="F395" s="225">
        <v>28</v>
      </c>
      <c r="G395" s="225">
        <f t="shared" si="6"/>
        <v>2075</v>
      </c>
      <c r="H395">
        <v>1660</v>
      </c>
    </row>
    <row r="396" spans="2:8" x14ac:dyDescent="0.3">
      <c r="B396" s="68" t="s">
        <v>1188</v>
      </c>
      <c r="C396" s="227" t="s">
        <v>1189</v>
      </c>
      <c r="D396" s="225">
        <v>1</v>
      </c>
      <c r="E396" s="225">
        <v>3865</v>
      </c>
      <c r="F396" s="225">
        <v>28</v>
      </c>
      <c r="G396" s="225">
        <f t="shared" si="6"/>
        <v>3478.75</v>
      </c>
      <c r="H396">
        <v>2783</v>
      </c>
    </row>
    <row r="397" spans="2:8" x14ac:dyDescent="0.3">
      <c r="B397" s="68" t="s">
        <v>1190</v>
      </c>
      <c r="C397" s="227" t="s">
        <v>1191</v>
      </c>
      <c r="D397" s="225">
        <v>1</v>
      </c>
      <c r="E397" s="225">
        <v>9904</v>
      </c>
      <c r="F397" s="225">
        <v>28</v>
      </c>
      <c r="G397" s="225">
        <f t="shared" si="6"/>
        <v>8913.75</v>
      </c>
      <c r="H397">
        <v>7131</v>
      </c>
    </row>
    <row r="398" spans="2:8" x14ac:dyDescent="0.3">
      <c r="B398" s="68" t="s">
        <v>1192</v>
      </c>
      <c r="C398" s="68" t="s">
        <v>1193</v>
      </c>
      <c r="D398" s="225">
        <v>2</v>
      </c>
      <c r="E398" s="225">
        <v>20224</v>
      </c>
      <c r="F398" s="225">
        <v>28</v>
      </c>
      <c r="G398" s="225">
        <f t="shared" si="6"/>
        <v>36403.75</v>
      </c>
      <c r="H398">
        <v>29123</v>
      </c>
    </row>
    <row r="399" spans="2:8" x14ac:dyDescent="0.3">
      <c r="B399" s="68" t="s">
        <v>1194</v>
      </c>
      <c r="C399" s="68" t="s">
        <v>1195</v>
      </c>
      <c r="D399" s="225">
        <v>2</v>
      </c>
      <c r="E399" s="225">
        <v>9033</v>
      </c>
      <c r="F399" s="225">
        <v>28</v>
      </c>
      <c r="G399" s="225">
        <f t="shared" si="6"/>
        <v>16260</v>
      </c>
      <c r="H399">
        <v>13008</v>
      </c>
    </row>
    <row r="400" spans="2:8" x14ac:dyDescent="0.3">
      <c r="B400" s="68" t="s">
        <v>1196</v>
      </c>
      <c r="C400" s="68" t="s">
        <v>1197</v>
      </c>
      <c r="D400" s="225">
        <v>1</v>
      </c>
      <c r="E400" s="225">
        <v>23008</v>
      </c>
      <c r="F400" s="225">
        <v>28</v>
      </c>
      <c r="G400" s="225">
        <f t="shared" si="6"/>
        <v>20707.5</v>
      </c>
      <c r="H400">
        <v>16566</v>
      </c>
    </row>
    <row r="401" spans="2:8" x14ac:dyDescent="0.3">
      <c r="B401" s="68" t="s">
        <v>1198</v>
      </c>
      <c r="C401" s="68" t="s">
        <v>1199</v>
      </c>
      <c r="D401" s="225">
        <v>1</v>
      </c>
      <c r="E401" s="225">
        <v>16909</v>
      </c>
      <c r="F401" s="225">
        <v>28</v>
      </c>
      <c r="G401" s="225">
        <f t="shared" si="6"/>
        <v>15217.5</v>
      </c>
      <c r="H401">
        <v>12174</v>
      </c>
    </row>
    <row r="402" spans="2:8" x14ac:dyDescent="0.3">
      <c r="B402" s="68" t="s">
        <v>1200</v>
      </c>
      <c r="C402" s="68" t="s">
        <v>1201</v>
      </c>
      <c r="D402" s="225">
        <v>1</v>
      </c>
      <c r="E402" s="225">
        <v>27120</v>
      </c>
      <c r="F402" s="225">
        <v>28</v>
      </c>
      <c r="G402" s="225">
        <f t="shared" si="6"/>
        <v>24407.5</v>
      </c>
      <c r="H402">
        <v>19526</v>
      </c>
    </row>
    <row r="403" spans="2:8" x14ac:dyDescent="0.3">
      <c r="B403" s="68" t="s">
        <v>1202</v>
      </c>
      <c r="C403" s="68" t="s">
        <v>1203</v>
      </c>
      <c r="D403" s="225">
        <v>1</v>
      </c>
      <c r="E403" s="225">
        <v>33837</v>
      </c>
      <c r="F403" s="225">
        <v>28</v>
      </c>
      <c r="G403" s="225">
        <f t="shared" si="6"/>
        <v>30453.75</v>
      </c>
      <c r="H403">
        <v>24363</v>
      </c>
    </row>
    <row r="404" spans="2:8" x14ac:dyDescent="0.3">
      <c r="B404" s="68" t="s">
        <v>1204</v>
      </c>
      <c r="C404" s="68" t="s">
        <v>1205</v>
      </c>
      <c r="D404" s="225">
        <v>1</v>
      </c>
      <c r="E404" s="225">
        <v>1998</v>
      </c>
      <c r="F404" s="225">
        <v>28</v>
      </c>
      <c r="G404" s="225">
        <f t="shared" si="6"/>
        <v>1798.75</v>
      </c>
      <c r="H404">
        <v>1439</v>
      </c>
    </row>
    <row r="405" spans="2:8" x14ac:dyDescent="0.3">
      <c r="B405" s="68" t="s">
        <v>1206</v>
      </c>
      <c r="C405" s="68" t="s">
        <v>1207</v>
      </c>
      <c r="D405" s="225">
        <v>1</v>
      </c>
      <c r="E405" s="225">
        <v>3774</v>
      </c>
      <c r="F405" s="225">
        <v>28</v>
      </c>
      <c r="G405" s="225">
        <f t="shared" si="6"/>
        <v>3396.25</v>
      </c>
      <c r="H405">
        <v>2717</v>
      </c>
    </row>
    <row r="406" spans="2:8" x14ac:dyDescent="0.3">
      <c r="B406" s="68" t="s">
        <v>1208</v>
      </c>
      <c r="C406" s="68" t="s">
        <v>1209</v>
      </c>
      <c r="D406" s="225">
        <v>1</v>
      </c>
      <c r="E406" s="225">
        <v>4285</v>
      </c>
      <c r="F406" s="225">
        <v>28</v>
      </c>
      <c r="G406" s="225">
        <f t="shared" si="6"/>
        <v>3856.25</v>
      </c>
      <c r="H406">
        <v>3085</v>
      </c>
    </row>
    <row r="407" spans="2:8" x14ac:dyDescent="0.3">
      <c r="B407" s="68" t="s">
        <v>1210</v>
      </c>
      <c r="C407" s="68" t="s">
        <v>1211</v>
      </c>
      <c r="D407" s="225">
        <v>1</v>
      </c>
      <c r="E407" s="225">
        <v>6640</v>
      </c>
      <c r="F407" s="225">
        <v>28</v>
      </c>
      <c r="G407" s="225">
        <f t="shared" si="6"/>
        <v>5976.25</v>
      </c>
      <c r="H407">
        <v>4781</v>
      </c>
    </row>
    <row r="408" spans="2:8" x14ac:dyDescent="0.3">
      <c r="B408" s="68" t="s">
        <v>1212</v>
      </c>
      <c r="C408" s="68" t="s">
        <v>1213</v>
      </c>
      <c r="D408" s="225">
        <v>1</v>
      </c>
      <c r="E408" s="225">
        <v>10298</v>
      </c>
      <c r="F408" s="225">
        <v>28</v>
      </c>
      <c r="G408" s="225">
        <f t="shared" si="6"/>
        <v>9268.75</v>
      </c>
      <c r="H408">
        <v>7415</v>
      </c>
    </row>
    <row r="409" spans="2:8" x14ac:dyDescent="0.3">
      <c r="B409" s="68" t="s">
        <v>1214</v>
      </c>
      <c r="C409" s="68" t="s">
        <v>1215</v>
      </c>
      <c r="D409" s="225">
        <v>2</v>
      </c>
      <c r="E409" s="225">
        <v>11581</v>
      </c>
      <c r="F409" s="225">
        <v>28</v>
      </c>
      <c r="G409" s="225">
        <f t="shared" si="6"/>
        <v>20846.25</v>
      </c>
      <c r="H409">
        <v>16677</v>
      </c>
    </row>
    <row r="410" spans="2:8" x14ac:dyDescent="0.3">
      <c r="B410" s="68" t="s">
        <v>1216</v>
      </c>
      <c r="C410" s="68" t="s">
        <v>1217</v>
      </c>
      <c r="D410" s="225">
        <v>1</v>
      </c>
      <c r="E410" s="225">
        <v>5115</v>
      </c>
      <c r="F410" s="225">
        <v>28</v>
      </c>
      <c r="G410" s="225">
        <f t="shared" si="6"/>
        <v>4603.75</v>
      </c>
      <c r="H410">
        <v>3683</v>
      </c>
    </row>
    <row r="411" spans="2:8" x14ac:dyDescent="0.3">
      <c r="B411" s="68" t="s">
        <v>1218</v>
      </c>
      <c r="C411" s="68" t="s">
        <v>1219</v>
      </c>
      <c r="D411" s="225">
        <v>2</v>
      </c>
      <c r="E411" s="225">
        <v>3.29</v>
      </c>
      <c r="F411" s="225">
        <v>28</v>
      </c>
      <c r="G411" s="225">
        <f t="shared" si="6"/>
        <v>5583.75</v>
      </c>
      <c r="H411">
        <v>4467</v>
      </c>
    </row>
    <row r="412" spans="2:8" x14ac:dyDescent="0.3">
      <c r="B412" s="68" t="s">
        <v>1220</v>
      </c>
      <c r="C412" s="68" t="s">
        <v>1221</v>
      </c>
      <c r="D412" s="225">
        <v>1</v>
      </c>
      <c r="E412" s="225">
        <v>381</v>
      </c>
      <c r="F412" s="225">
        <v>28</v>
      </c>
      <c r="G412" s="225">
        <f t="shared" si="6"/>
        <v>342.5</v>
      </c>
      <c r="H412">
        <v>274</v>
      </c>
    </row>
    <row r="413" spans="2:8" x14ac:dyDescent="0.3">
      <c r="B413" s="68" t="s">
        <v>1222</v>
      </c>
      <c r="C413" s="227" t="s">
        <v>1223</v>
      </c>
      <c r="D413" s="225">
        <v>1</v>
      </c>
      <c r="E413" s="225">
        <v>11.27</v>
      </c>
      <c r="F413" s="225">
        <v>28</v>
      </c>
      <c r="G413" s="225">
        <f t="shared" si="6"/>
        <v>9552.5</v>
      </c>
      <c r="H413">
        <v>7642</v>
      </c>
    </row>
    <row r="414" spans="2:8" x14ac:dyDescent="0.3">
      <c r="B414" s="68" t="s">
        <v>1224</v>
      </c>
      <c r="C414" s="68" t="s">
        <v>1225</v>
      </c>
      <c r="D414" s="225">
        <v>1</v>
      </c>
      <c r="E414" s="225">
        <v>9.41</v>
      </c>
      <c r="F414" s="225">
        <v>28</v>
      </c>
      <c r="G414" s="225">
        <f t="shared" si="6"/>
        <v>7986.25</v>
      </c>
      <c r="H414">
        <v>6389</v>
      </c>
    </row>
    <row r="415" spans="2:8" x14ac:dyDescent="0.3">
      <c r="B415" s="68" t="s">
        <v>1226</v>
      </c>
      <c r="C415" s="68" t="s">
        <v>1227</v>
      </c>
      <c r="D415" s="225">
        <v>1</v>
      </c>
      <c r="E415" s="225">
        <v>2.86</v>
      </c>
      <c r="F415" s="225">
        <v>28</v>
      </c>
      <c r="G415" s="225">
        <f t="shared" si="6"/>
        <v>2426.25</v>
      </c>
      <c r="H415">
        <v>1941</v>
      </c>
    </row>
    <row r="416" spans="2:8" x14ac:dyDescent="0.3">
      <c r="B416" s="68" t="s">
        <v>1228</v>
      </c>
      <c r="C416" s="68" t="s">
        <v>1229</v>
      </c>
      <c r="D416" s="225">
        <v>1</v>
      </c>
      <c r="E416" s="225">
        <v>6.6</v>
      </c>
      <c r="F416" s="225">
        <v>28</v>
      </c>
      <c r="G416" s="225">
        <f t="shared" si="6"/>
        <v>5595</v>
      </c>
      <c r="H416">
        <v>4476</v>
      </c>
    </row>
    <row r="417" spans="2:8" x14ac:dyDescent="0.3">
      <c r="B417" s="68" t="s">
        <v>1230</v>
      </c>
      <c r="C417" s="68" t="s">
        <v>1231</v>
      </c>
      <c r="D417" s="225">
        <v>1</v>
      </c>
      <c r="E417" s="225">
        <v>8.85</v>
      </c>
      <c r="F417" s="225">
        <v>28</v>
      </c>
      <c r="G417" s="225">
        <f t="shared" si="6"/>
        <v>7503.75</v>
      </c>
      <c r="H417">
        <v>6003</v>
      </c>
    </row>
    <row r="418" spans="2:8" x14ac:dyDescent="0.3">
      <c r="B418" s="68" t="s">
        <v>1232</v>
      </c>
      <c r="C418" s="68" t="s">
        <v>1233</v>
      </c>
      <c r="D418" s="225">
        <v>1</v>
      </c>
      <c r="E418" s="225">
        <v>13.61</v>
      </c>
      <c r="F418" s="225">
        <v>28</v>
      </c>
      <c r="G418" s="225">
        <f t="shared" si="6"/>
        <v>11543.75</v>
      </c>
      <c r="H418">
        <v>9235</v>
      </c>
    </row>
    <row r="419" spans="2:8" x14ac:dyDescent="0.3">
      <c r="B419" s="68" t="s">
        <v>1234</v>
      </c>
      <c r="C419" s="68" t="s">
        <v>1235</v>
      </c>
      <c r="D419" s="225">
        <v>1</v>
      </c>
      <c r="E419" s="225">
        <v>2.71</v>
      </c>
      <c r="F419" s="225">
        <v>28</v>
      </c>
      <c r="G419" s="225">
        <f t="shared" si="6"/>
        <v>2297.5</v>
      </c>
      <c r="H419">
        <v>1838</v>
      </c>
    </row>
    <row r="420" spans="2:8" x14ac:dyDescent="0.3">
      <c r="B420" s="68" t="s">
        <v>1236</v>
      </c>
      <c r="C420" s="68" t="s">
        <v>1237</v>
      </c>
      <c r="D420" s="225">
        <v>1</v>
      </c>
      <c r="E420" s="225">
        <v>5.75</v>
      </c>
      <c r="F420" s="225">
        <v>28</v>
      </c>
      <c r="G420" s="225">
        <f t="shared" si="6"/>
        <v>4876.25</v>
      </c>
      <c r="H420">
        <v>3901</v>
      </c>
    </row>
    <row r="421" spans="2:8" x14ac:dyDescent="0.3">
      <c r="B421" s="68" t="s">
        <v>1238</v>
      </c>
      <c r="C421" s="68" t="s">
        <v>1239</v>
      </c>
      <c r="D421" s="225">
        <v>1</v>
      </c>
      <c r="E421" s="225">
        <v>7</v>
      </c>
      <c r="F421" s="225">
        <v>28</v>
      </c>
      <c r="G421" s="225">
        <f t="shared" si="6"/>
        <v>5936.25</v>
      </c>
      <c r="H421">
        <v>4749</v>
      </c>
    </row>
    <row r="422" spans="2:8" x14ac:dyDescent="0.3">
      <c r="B422" s="68" t="s">
        <v>1240</v>
      </c>
      <c r="C422" s="68" t="s">
        <v>1241</v>
      </c>
      <c r="D422" s="225">
        <v>1</v>
      </c>
      <c r="E422" s="225">
        <v>12.76</v>
      </c>
      <c r="F422" s="225">
        <v>28</v>
      </c>
      <c r="G422" s="225">
        <f t="shared" si="6"/>
        <v>10825</v>
      </c>
      <c r="H422">
        <v>8660</v>
      </c>
    </row>
    <row r="423" spans="2:8" x14ac:dyDescent="0.3">
      <c r="B423" s="68" t="s">
        <v>1242</v>
      </c>
      <c r="C423" s="68" t="s">
        <v>1243</v>
      </c>
      <c r="D423" s="225">
        <v>1</v>
      </c>
      <c r="E423" s="225">
        <v>3.96</v>
      </c>
      <c r="F423" s="225">
        <v>28</v>
      </c>
      <c r="G423" s="225">
        <f t="shared" si="6"/>
        <v>3357.5</v>
      </c>
      <c r="H423">
        <v>2686</v>
      </c>
    </row>
    <row r="424" spans="2:8" x14ac:dyDescent="0.3">
      <c r="B424" s="68" t="s">
        <v>1244</v>
      </c>
      <c r="C424" s="68" t="s">
        <v>57</v>
      </c>
      <c r="D424" s="225">
        <v>1</v>
      </c>
      <c r="E424" s="225">
        <v>3.84</v>
      </c>
      <c r="F424" s="225">
        <v>28</v>
      </c>
      <c r="G424" s="225">
        <f t="shared" si="6"/>
        <v>3251.25</v>
      </c>
      <c r="H424">
        <v>2601</v>
      </c>
    </row>
    <row r="425" spans="2:8" x14ac:dyDescent="0.3">
      <c r="B425" s="68" t="s">
        <v>1245</v>
      </c>
      <c r="C425" s="68" t="s">
        <v>58</v>
      </c>
      <c r="D425" s="225">
        <v>1</v>
      </c>
      <c r="E425" s="225">
        <v>15.81</v>
      </c>
      <c r="F425" s="225">
        <v>28</v>
      </c>
      <c r="G425" s="225">
        <f t="shared" si="6"/>
        <v>13403.75</v>
      </c>
      <c r="H425">
        <v>10723</v>
      </c>
    </row>
    <row r="426" spans="2:8" x14ac:dyDescent="0.3">
      <c r="B426" s="68" t="s">
        <v>1246</v>
      </c>
      <c r="C426" s="68" t="s">
        <v>62</v>
      </c>
      <c r="D426" s="225">
        <v>1</v>
      </c>
      <c r="E426" s="225">
        <v>0.98</v>
      </c>
      <c r="F426" s="225">
        <v>28</v>
      </c>
      <c r="G426" s="225">
        <f t="shared" si="6"/>
        <v>836.25</v>
      </c>
      <c r="H426">
        <v>669</v>
      </c>
    </row>
    <row r="427" spans="2:8" x14ac:dyDescent="0.3">
      <c r="B427" s="68" t="s">
        <v>1247</v>
      </c>
      <c r="C427" s="68" t="s">
        <v>61</v>
      </c>
      <c r="D427" s="225">
        <v>1</v>
      </c>
      <c r="E427" s="225">
        <v>4107</v>
      </c>
      <c r="F427" s="225">
        <v>28</v>
      </c>
      <c r="G427" s="225">
        <f t="shared" si="6"/>
        <v>3696.25</v>
      </c>
      <c r="H427">
        <v>2957</v>
      </c>
    </row>
    <row r="428" spans="2:8" x14ac:dyDescent="0.3">
      <c r="B428" s="68" t="s">
        <v>1248</v>
      </c>
      <c r="C428" s="68" t="s">
        <v>1249</v>
      </c>
      <c r="D428" s="225">
        <v>1</v>
      </c>
      <c r="E428" s="225">
        <v>2336</v>
      </c>
      <c r="F428" s="225">
        <v>28</v>
      </c>
      <c r="G428" s="225">
        <f t="shared" si="6"/>
        <v>2102.5</v>
      </c>
      <c r="H428">
        <v>1682</v>
      </c>
    </row>
    <row r="429" spans="2:8" x14ac:dyDescent="0.3">
      <c r="B429" s="68" t="s">
        <v>1250</v>
      </c>
      <c r="C429" s="68" t="s">
        <v>1251</v>
      </c>
      <c r="D429" s="225">
        <v>1</v>
      </c>
      <c r="E429" s="225">
        <v>5876</v>
      </c>
      <c r="F429" s="225">
        <v>28</v>
      </c>
      <c r="G429" s="225">
        <f t="shared" si="6"/>
        <v>5288.75</v>
      </c>
      <c r="H429">
        <v>4231</v>
      </c>
    </row>
    <row r="430" spans="2:8" x14ac:dyDescent="0.3">
      <c r="B430" s="68" t="s">
        <v>1252</v>
      </c>
      <c r="C430" s="68" t="s">
        <v>1253</v>
      </c>
      <c r="D430" s="225">
        <v>1</v>
      </c>
      <c r="E430" s="225">
        <v>5876</v>
      </c>
      <c r="F430" s="225">
        <v>28</v>
      </c>
      <c r="G430" s="225">
        <f t="shared" si="6"/>
        <v>5288.75</v>
      </c>
      <c r="H430">
        <v>4231</v>
      </c>
    </row>
    <row r="431" spans="2:8" x14ac:dyDescent="0.3">
      <c r="B431" s="68" t="s">
        <v>1254</v>
      </c>
      <c r="C431" s="68" t="s">
        <v>1255</v>
      </c>
      <c r="D431" s="225">
        <v>1</v>
      </c>
      <c r="E431" s="225">
        <v>6.98</v>
      </c>
      <c r="F431" s="225">
        <v>28</v>
      </c>
      <c r="G431" s="225">
        <f t="shared" si="6"/>
        <v>5925</v>
      </c>
      <c r="H431">
        <v>4740</v>
      </c>
    </row>
    <row r="432" spans="2:8" x14ac:dyDescent="0.3">
      <c r="B432" s="68" t="s">
        <v>1256</v>
      </c>
      <c r="C432" s="68" t="s">
        <v>1257</v>
      </c>
      <c r="D432" s="225">
        <v>1</v>
      </c>
      <c r="E432" s="225">
        <v>5.17</v>
      </c>
      <c r="F432" s="225">
        <v>28</v>
      </c>
      <c r="G432" s="225">
        <f t="shared" si="6"/>
        <v>4381.25</v>
      </c>
      <c r="H432">
        <v>3505</v>
      </c>
    </row>
    <row r="433" spans="2:8" x14ac:dyDescent="0.3">
      <c r="B433" s="68" t="s">
        <v>1258</v>
      </c>
      <c r="C433" s="68" t="s">
        <v>1259</v>
      </c>
      <c r="D433" s="225">
        <v>1</v>
      </c>
      <c r="E433" s="225">
        <v>5.57</v>
      </c>
      <c r="F433" s="225">
        <v>28</v>
      </c>
      <c r="G433" s="225">
        <f t="shared" si="6"/>
        <v>4723.75</v>
      </c>
      <c r="H433">
        <v>3779</v>
      </c>
    </row>
    <row r="434" spans="2:8" x14ac:dyDescent="0.3">
      <c r="B434" s="68" t="s">
        <v>1260</v>
      </c>
      <c r="C434" s="68" t="s">
        <v>1261</v>
      </c>
      <c r="D434" s="225">
        <v>1</v>
      </c>
      <c r="E434" s="225">
        <v>846</v>
      </c>
      <c r="F434" s="225">
        <v>28</v>
      </c>
      <c r="G434" s="225">
        <f t="shared" si="6"/>
        <v>761.25</v>
      </c>
      <c r="H434">
        <v>609</v>
      </c>
    </row>
    <row r="435" spans="2:8" x14ac:dyDescent="0.3">
      <c r="B435" s="68" t="s">
        <v>1262</v>
      </c>
      <c r="C435" s="68" t="s">
        <v>1263</v>
      </c>
      <c r="D435" s="225">
        <v>1</v>
      </c>
      <c r="E435" s="225">
        <v>128</v>
      </c>
      <c r="F435" s="225">
        <v>28</v>
      </c>
      <c r="G435" s="225">
        <f t="shared" si="6"/>
        <v>108553.75</v>
      </c>
      <c r="H435">
        <v>86843</v>
      </c>
    </row>
  </sheetData>
  <autoFilter ref="B5:G435" xr:uid="{00000000-0009-0000-0000-000006000000}">
    <filterColumn colId="1">
      <customFilters>
        <customFilter val="**"/>
      </customFilters>
    </filterColumn>
  </autoFilter>
  <conditionalFormatting sqref="B6:B435">
    <cfRule type="duplicateValues" dxfId="0" priority="7"/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0" r:id="rId3" name="TextBox1">
          <controlPr defaultSize="0" autoLine="0" r:id="rId4">
            <anchor moveWithCells="1">
              <from>
                <xdr:col>2</xdr:col>
                <xdr:colOff>60960</xdr:colOff>
                <xdr:row>1</xdr:row>
                <xdr:rowOff>0</xdr:rowOff>
              </from>
              <to>
                <xdr:col>2</xdr:col>
                <xdr:colOff>5600700</xdr:colOff>
                <xdr:row>2</xdr:row>
                <xdr:rowOff>83820</xdr:rowOff>
              </to>
            </anchor>
          </controlPr>
        </control>
      </mc:Choice>
      <mc:Fallback>
        <control shapeId="1030" r:id="rId3" name="TextBox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872EAD-5E0B-4DA3-96B1-3CB34D610C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CC_COSTO_INFRA_</vt:lpstr>
      <vt:lpstr>CC_EQUIPOS_</vt:lpstr>
      <vt:lpstr>CC_TRASLADO</vt:lpstr>
      <vt:lpstr>TRANS</vt:lpstr>
      <vt:lpstr>USD, UF de Hoy</vt:lpstr>
      <vt:lpstr>Hoja1</vt:lpstr>
      <vt:lpstr>Valores ESTEC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56973</dc:creator>
  <cp:lastModifiedBy>Practicante 6 Soporte Daniel</cp:lastModifiedBy>
  <dcterms:created xsi:type="dcterms:W3CDTF">2022-07-07T19:42:32Z</dcterms:created>
  <dcterms:modified xsi:type="dcterms:W3CDTF">2026-01-05T18:19:02Z</dcterms:modified>
</cp:coreProperties>
</file>